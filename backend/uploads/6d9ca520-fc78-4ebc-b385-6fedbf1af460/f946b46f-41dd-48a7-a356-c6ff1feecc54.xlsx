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 Franklin-Mitchell\Harbor Capital Dropbox\Asset Management\NEW Centennial (Hudson Bay)\08_Leasing\Leasing Reports\"/>
    </mc:Choice>
  </mc:AlternateContent>
  <xr:revisionPtr revIDLastSave="0" documentId="8_{08282CD8-0867-4168-9CA0-CD9319198115}" xr6:coauthVersionLast="47" xr6:coauthVersionMax="47" xr10:uidLastSave="{00000000-0000-0000-0000-000000000000}"/>
  <bookViews>
    <workbookView xWindow="-110" yWindow="-110" windowWidth="25820" windowHeight="15500" xr2:uid="{D603F0D3-805F-4303-87E3-450F54415025}"/>
  </bookViews>
  <sheets>
    <sheet name="LAR" sheetId="1" r:id="rId1"/>
    <sheet name="Contacted" sheetId="3" state="hidden" r:id="rId2"/>
    <sheet name="Sheet2" sheetId="2" r:id="rId3"/>
  </sheets>
  <definedNames>
    <definedName name="_xlnm.Print_Area" localSheetId="1">Contacted!$B$4:$M$34</definedName>
    <definedName name="_xlnm.Print_Area" localSheetId="0">LAR!$B$4:$N$58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16" i="2" l="1"/>
  <c r="L17" i="2" s="1"/>
  <c r="L18" i="2" s="1"/>
  <c r="L19" i="2" s="1"/>
  <c r="L20" i="2" s="1"/>
  <c r="N15" i="2"/>
  <c r="M17" i="2"/>
  <c r="M16" i="2"/>
  <c r="N17" i="2" l="1"/>
  <c r="N16" i="2"/>
  <c r="M18" i="2"/>
  <c r="N18" i="2" s="1"/>
  <c r="M19" i="2" l="1"/>
  <c r="N19" i="2" l="1"/>
  <c r="M20" i="2"/>
  <c r="N20" i="2" s="1"/>
</calcChain>
</file>

<file path=xl/sharedStrings.xml><?xml version="1.0" encoding="utf-8"?>
<sst xmlns="http://schemas.openxmlformats.org/spreadsheetml/2006/main" count="540" uniqueCount="224">
  <si>
    <t>Agent</t>
  </si>
  <si>
    <t>Type</t>
  </si>
  <si>
    <t>Prospect</t>
  </si>
  <si>
    <t>Prospect Broker</t>
  </si>
  <si>
    <t>Lease</t>
  </si>
  <si>
    <t>Quoted Rent</t>
  </si>
  <si>
    <t>Asking Price</t>
  </si>
  <si>
    <t>Contact</t>
  </si>
  <si>
    <t>Prospect Stage</t>
  </si>
  <si>
    <t>Notes</t>
  </si>
  <si>
    <t xml:space="preserve">Lease </t>
  </si>
  <si>
    <t>Purchase</t>
  </si>
  <si>
    <t>Lease or Purchase</t>
  </si>
  <si>
    <t>OMC Realty, LLC</t>
  </si>
  <si>
    <t>Leasing Activity Report</t>
  </si>
  <si>
    <t>Prepared by Llano Realty Partners, LLC</t>
  </si>
  <si>
    <t>1. Inquiry</t>
  </si>
  <si>
    <t>0. Inactive</t>
  </si>
  <si>
    <t>5. Lease executed</t>
  </si>
  <si>
    <t>4. Lease negotiation</t>
  </si>
  <si>
    <t>3. LOI negotiation</t>
  </si>
  <si>
    <t>2. Touring</t>
  </si>
  <si>
    <t>Size</t>
  </si>
  <si>
    <t>Initial Contact</t>
  </si>
  <si>
    <t>Last Update</t>
  </si>
  <si>
    <t>List of Contacted Prospects</t>
  </si>
  <si>
    <t>Property</t>
  </si>
  <si>
    <t>CM</t>
  </si>
  <si>
    <t xml:space="preserve">Direct </t>
  </si>
  <si>
    <t>1734 Centennial</t>
  </si>
  <si>
    <t>Partners RE</t>
  </si>
  <si>
    <t>Confidential- Eco Planting</t>
  </si>
  <si>
    <t>Saryvette Morales</t>
  </si>
  <si>
    <t>$8 NNN</t>
  </si>
  <si>
    <t>Saryvette has a manufcaturing group out of mexcio that's looking to do eco planting.Sent over info and looking to set up a tour. Timeline- end of Q1 2025</t>
  </si>
  <si>
    <t xml:space="preserve">Building materials company </t>
  </si>
  <si>
    <t>The Emery group</t>
  </si>
  <si>
    <t>Jaffar Chugtai</t>
  </si>
  <si>
    <t>Inquired on the buidling ond sent over info. Followed up twice- broker said they are moving slow &amp; no feedback yet.</t>
  </si>
  <si>
    <t>Zubia Corp</t>
  </si>
  <si>
    <t>Syed Ahmed</t>
  </si>
  <si>
    <t>Talked to Syed on the phone &amp; put this site in front of him but he's looking for 7-10K SF. Industial cleaning product distributor.</t>
  </si>
  <si>
    <t xml:space="preserve">Confidential </t>
  </si>
  <si>
    <t xml:space="preserve">EXP </t>
  </si>
  <si>
    <t xml:space="preserve">Brennan Foley </t>
  </si>
  <si>
    <t xml:space="preserve">1734 Centennial </t>
  </si>
  <si>
    <t xml:space="preserve">Skywalker Properties </t>
  </si>
  <si>
    <t xml:space="preserve">Jack Mock </t>
  </si>
  <si>
    <t xml:space="preserve">Purchase </t>
  </si>
  <si>
    <t xml:space="preserve">$8 NNN </t>
  </si>
  <si>
    <t xml:space="preserve">Jack was wanting to know if we would sell, he cant get to a price point that we would consider selling </t>
  </si>
  <si>
    <t>Chris</t>
  </si>
  <si>
    <t>Confidential</t>
  </si>
  <si>
    <t>JCCH Real Estate</t>
  </si>
  <si>
    <t>Carino Cortez</t>
  </si>
  <si>
    <t>$7.50 NNN</t>
  </si>
  <si>
    <t>Logistcs group</t>
  </si>
  <si>
    <t>Lane Group</t>
  </si>
  <si>
    <t>Frank Suhr</t>
  </si>
  <si>
    <t xml:space="preserve">Broker inquired &amp; sent over information as he is running with a requirment. Followed up but no feedback yet. </t>
  </si>
  <si>
    <t xml:space="preserve">Price Commercial </t>
  </si>
  <si>
    <t xml:space="preserve">Kelly Siegler </t>
  </si>
  <si>
    <t xml:space="preserve">Lux Bakery </t>
  </si>
  <si>
    <t xml:space="preserve">Chris </t>
  </si>
  <si>
    <t xml:space="preserve">$7.50 NNN </t>
  </si>
  <si>
    <t xml:space="preserve">Reached out to the next door neighboring tenant, they don’t need the extra space right now </t>
  </si>
  <si>
    <t>50,000-70,000</t>
  </si>
  <si>
    <t xml:space="preserve">Shifeng Lin </t>
  </si>
  <si>
    <t>NA</t>
  </si>
  <si>
    <t>Reachedc out crexi, sent her information.</t>
  </si>
  <si>
    <t xml:space="preserve">Resolute </t>
  </si>
  <si>
    <t>Ray Kang</t>
  </si>
  <si>
    <t>10,000-20,000</t>
  </si>
  <si>
    <t>$10 NNN</t>
  </si>
  <si>
    <t>Alamo Candy</t>
  </si>
  <si>
    <t xml:space="preserve">Toured through 1734 Centennial as she has 2 clients that this could work for. Tenants have put the search on pause for now due to tariffs. </t>
  </si>
  <si>
    <t xml:space="preserve">Lupe Zamora </t>
  </si>
  <si>
    <t>Willie Samame</t>
  </si>
  <si>
    <t xml:space="preserve">Reached out to their ownership if they need moe space as they look like they are packed in at their 1149 Hildebrand location. Talked to Willie &amp; will discuss with management </t>
  </si>
  <si>
    <t>Kelly has a a large energy company coming to Texas within the next week to tour. They need 50K-70K+/- sqft with office space and full HVAC.They will be storing inverters and Li-ion batteries. She should be touring next week, more to come</t>
  </si>
  <si>
    <t xml:space="preserve">Ray has a building materials group that needs to store about 400 pallets. Need 10,000-20,000 of HVAC warehouse space. he will be at the broker event on their behalf, they are confirming timing. </t>
  </si>
  <si>
    <t xml:space="preserve">Brennan inquired via Crexi this morning, sent him information and trying to see what kind of group he's running with </t>
  </si>
  <si>
    <t xml:space="preserve">Emery Group </t>
  </si>
  <si>
    <t>Devin Resendez</t>
  </si>
  <si>
    <t xml:space="preserve">Devin inquired via Crexi &amp; downloaded a flyer. Said was not going to work with his group. </t>
  </si>
  <si>
    <t>Culinary Cowgirl; cheese</t>
  </si>
  <si>
    <t xml:space="preserve">Alex </t>
  </si>
  <si>
    <t xml:space="preserve">Reached out to their ownership if they need moe space as the company is growing &amp; supply HEB. Followed up but no feedback yet. </t>
  </si>
  <si>
    <t>Future Frame USA</t>
  </si>
  <si>
    <t>Will Lyles</t>
  </si>
  <si>
    <t xml:space="preserve">Montaveis Loving </t>
  </si>
  <si>
    <t xml:space="preserve">1734 Centenial </t>
  </si>
  <si>
    <t>Montaives inquiored via craxi. We have calls and emails out to him to get more information</t>
  </si>
  <si>
    <t>Took Will by the site but they are needing much more land. Door frame company out of Houston expanding into San Antonio.</t>
  </si>
  <si>
    <t xml:space="preserve">Garcia Event Centers </t>
  </si>
  <si>
    <t xml:space="preserve">Peter Garcia </t>
  </si>
  <si>
    <t xml:space="preserve">The Top Event Center </t>
  </si>
  <si>
    <t>Christy Conzaa</t>
  </si>
  <si>
    <t xml:space="preserve">They arent in the market for space right now. They also mentioned parking being an issue here. </t>
  </si>
  <si>
    <t xml:space="preserve">Location doesn’t work for them. Parking is an issue &amp; mentioned zoning would not work. </t>
  </si>
  <si>
    <t xml:space="preserve">Unique Creations Plus </t>
  </si>
  <si>
    <t>Sylvia Ruiz</t>
  </si>
  <si>
    <t xml:space="preserve">There is some interest here, we have sent them information &amp; are trying to schedule a tour </t>
  </si>
  <si>
    <t xml:space="preserve">confidential </t>
  </si>
  <si>
    <t>SRS</t>
  </si>
  <si>
    <t xml:space="preserve">Anthony Merrit </t>
  </si>
  <si>
    <t>10bitworks.com</t>
  </si>
  <si>
    <t>Eric Spehr</t>
  </si>
  <si>
    <t>TBD</t>
  </si>
  <si>
    <t>Andie Watkins &amp; Josh Aguilar</t>
  </si>
  <si>
    <t>CBRE</t>
  </si>
  <si>
    <t>40-70K SF</t>
  </si>
  <si>
    <t>JLL</t>
  </si>
  <si>
    <t xml:space="preserve">Alcide Longoria </t>
  </si>
  <si>
    <t xml:space="preserve">20,000-50,000 </t>
  </si>
  <si>
    <t xml:space="preserve">Alcide is running with a lithium battery group, we are in his initial survey. Following up dilligently for tour schedules. </t>
  </si>
  <si>
    <t xml:space="preserve">Reached out with 10bitworks needing 8-10K SF. They are the oldest non-profit makerspace. 10bitworks.com. Intrested </t>
  </si>
  <si>
    <t xml:space="preserve">Uriah Real Estate </t>
  </si>
  <si>
    <t xml:space="preserve">Priscilla </t>
  </si>
  <si>
    <t>Beverage production &amp; Distro</t>
  </si>
  <si>
    <t>Stream</t>
  </si>
  <si>
    <t xml:space="preserve">Tanner C. </t>
  </si>
  <si>
    <t>Initial stages of their survey search btu should start searching</t>
  </si>
  <si>
    <t xml:space="preserve">Anthony has gopne dark on us, don’t believe his requirement was serious. </t>
  </si>
  <si>
    <t>Scott McMurrian</t>
  </si>
  <si>
    <t>$7 + NNN</t>
  </si>
  <si>
    <t>Bottom Line Realty</t>
  </si>
  <si>
    <t>Gabe Ximenes</t>
  </si>
  <si>
    <t>Merit CRE</t>
  </si>
  <si>
    <t>Sale</t>
  </si>
  <si>
    <t>$90/SF</t>
  </si>
  <si>
    <t>Alpine CRE</t>
  </si>
  <si>
    <t>Kyle Fischer</t>
  </si>
  <si>
    <t>Younger Partners</t>
  </si>
  <si>
    <t>Scott Farber</t>
  </si>
  <si>
    <t xml:space="preserve">Scott didn't inquire but downloaded a flyer for this site via Crexi so we sent info to see what he is working with. Followed up &amp; no response. </t>
  </si>
  <si>
    <t>Colin</t>
  </si>
  <si>
    <t>Oxford CRE</t>
  </si>
  <si>
    <t>Mellissa G</t>
  </si>
  <si>
    <t xml:space="preserve">Gabe inqurired &amp; we sent info. No feedback after follow up. </t>
  </si>
  <si>
    <t xml:space="preserve">Cushman </t>
  </si>
  <si>
    <t>Sergio Acosta &amp; Tyler R</t>
  </si>
  <si>
    <t>Tyler &amp; sergio reached out needing more info on the WH. Tenant needs minimum of 1000 amps for charging EV's &amp; timing is asap. We don't have the power specs to support.</t>
  </si>
  <si>
    <t xml:space="preserve">Kyle inquired as he had a investor out of CA intrested. Followed up &amp; they are focused on another location. </t>
  </si>
  <si>
    <t xml:space="preserve">Inquired &amp; said she had a user intrested. We followed up &amp; learned that they passed on this site. </t>
  </si>
  <si>
    <t>Scott inquired and asked for moe info as he is running with a idustrial manifacturing use. Did not diclose the tenant. They offered on another site but looking at other options.</t>
  </si>
  <si>
    <t>EV charging</t>
  </si>
  <si>
    <t>Cardonas Boxing</t>
  </si>
  <si>
    <t>Juan Cardona</t>
  </si>
  <si>
    <t>$12 + NNN</t>
  </si>
  <si>
    <t>Inquired on 1734 but only need 5-7K SF &amp; wants to pay $5k all in monthly. Small boxing gym.</t>
  </si>
  <si>
    <t>NAI Excel</t>
  </si>
  <si>
    <t>Juan Flores</t>
  </si>
  <si>
    <t xml:space="preserve">Priscilla has a group that stores autoparts for Toyota; this would be for an existing contract. Changed requirment on us. Still around &amp; proposing an LOI. We are waiting for the contract with Toyota to get done. </t>
  </si>
  <si>
    <t>Muneeba Saeed</t>
  </si>
  <si>
    <t xml:space="preserve">Downloaded a flyer so we went ahead &amp; sent over info. Followed up but no feedback yet. </t>
  </si>
  <si>
    <t>ECM Food group/Levior</t>
  </si>
  <si>
    <t>Gun show</t>
  </si>
  <si>
    <t>SVN CRE</t>
  </si>
  <si>
    <t>Jay Dabbs</t>
  </si>
  <si>
    <t xml:space="preserve">Broker downloaded a flyer so sent email and called. He is working with a gun show owner looking to a large warehouse with lots of parking. This could be an option but is needing parking for 300-400 cars. </t>
  </si>
  <si>
    <t>Eric A</t>
  </si>
  <si>
    <t xml:space="preserve">Downlodaded a flyer so I sent an email to get more info. Have followed up twice with no response. </t>
  </si>
  <si>
    <t>Chirs</t>
  </si>
  <si>
    <t>Blackwood Engineeering</t>
  </si>
  <si>
    <t>Dominic C</t>
  </si>
  <si>
    <t>30-40K</t>
  </si>
  <si>
    <t xml:space="preserve">Downloaded a broshure so I sent him &amp; email &amp; talked on the phone. Company out of UK needing 30-40K SF with 4 acres of yard. Needs more yard for their inventory. </t>
  </si>
  <si>
    <t>Toured the group through the space as they are intrested in purchasing. Tour went well &amp; will be touring their tech through the warehouse. They paassed on the building as they found a better fit buildidng with less work needed for their operations.</t>
  </si>
  <si>
    <t>Multifamily GC companu</t>
  </si>
  <si>
    <t>1734 Centeannial</t>
  </si>
  <si>
    <t>Harner Realty</t>
  </si>
  <si>
    <t xml:space="preserve">Mark </t>
  </si>
  <si>
    <t>$7 NNN</t>
  </si>
  <si>
    <t>60K</t>
  </si>
  <si>
    <t>Inquired on the property &amp; sent over info. His client needs a large yard as they store a lot of construction materials &amp; trucks.</t>
  </si>
  <si>
    <t>Investor</t>
  </si>
  <si>
    <t>Moral CRE</t>
  </si>
  <si>
    <t xml:space="preserve">Broker out of Corpus has an investor intrested &amp; had a verbal offer at $60/SF which is way too low. </t>
  </si>
  <si>
    <t>Twang</t>
  </si>
  <si>
    <t xml:space="preserve">Srteve Clyde </t>
  </si>
  <si>
    <t xml:space="preserve">Still confirming </t>
  </si>
  <si>
    <t xml:space="preserve">Steve Clyde </t>
  </si>
  <si>
    <t>Rick S</t>
  </si>
  <si>
    <t>$85/SF</t>
  </si>
  <si>
    <t xml:space="preserve">Inquired the morning of 8/11. Have emails &amp; calls out to him on the property, still confirming use </t>
  </si>
  <si>
    <t xml:space="preserve">They inquired late July &amp; toured them through the whole facility.  Company is Alamo Candy &amp; needs additional space since they have outgrown their facility. They are still considering the asset but can't get to our price at $80/SF. They are wanting very cheap pricing. </t>
  </si>
  <si>
    <t>Armando M</t>
  </si>
  <si>
    <t xml:space="preserve">Saw someone looking at the listing via SI's so send an email &amp; got in contact with Logistics manager as he said they need dead warehouse space. I've put this property in front of him&amp; followed up. No full feedback. </t>
  </si>
  <si>
    <t xml:space="preserve">Manufacturing use </t>
  </si>
  <si>
    <t xml:space="preserve">Colliers </t>
  </si>
  <si>
    <t>Michael Modesett</t>
  </si>
  <si>
    <t xml:space="preserve">$90/ SF </t>
  </si>
  <si>
    <t>Volta Global</t>
  </si>
  <si>
    <t>Rodrigo Huereca</t>
  </si>
  <si>
    <t xml:space="preserve">Rodrigo reached out for more details on the property. Weent over info &amp; hopped on the phone with them. Capital group out of Miami. </t>
  </si>
  <si>
    <t>Finial</t>
  </si>
  <si>
    <t>Andrew B</t>
  </si>
  <si>
    <t xml:space="preserve">Inquired to get more info. We sent info but no feedback just yet. </t>
  </si>
  <si>
    <t>Southern WD</t>
  </si>
  <si>
    <t>Johnathan Walker</t>
  </si>
  <si>
    <t>$6/SF</t>
  </si>
  <si>
    <t>Called Johnathan which is the Pres of Southern WD. I emailed him all the details and will get back to me. Not a huge demand in the southside for land</t>
  </si>
  <si>
    <t>Film Studio</t>
  </si>
  <si>
    <t>Brokered</t>
  </si>
  <si>
    <t>Raul Rodriguez- KW Commercial</t>
  </si>
  <si>
    <t>American Water Damage</t>
  </si>
  <si>
    <t>$5/SF</t>
  </si>
  <si>
    <t>Landry Wells</t>
  </si>
  <si>
    <t xml:space="preserve">Toured them through another one of our listings &amp; pivoted them to this listing as they need HVAC warehouse space. Shooting to tour them this week. </t>
  </si>
  <si>
    <t>manufacturing client that has immediate timing, looking to purchase. Shifted to the NE side of San Antonio</t>
  </si>
  <si>
    <t>Meat processing</t>
  </si>
  <si>
    <t>Edward Gonzalez</t>
  </si>
  <si>
    <t>15-20K</t>
  </si>
  <si>
    <t>$8/SF</t>
  </si>
  <si>
    <t>Water Damage company</t>
  </si>
  <si>
    <t>Laundry W</t>
  </si>
  <si>
    <t xml:space="preserve">They drove the site but need more parking &amp; want to be in the north side of town. </t>
  </si>
  <si>
    <t>Toured this prospect &amp; could ber a good fit. Only needs about 20K SF. We can split the space in half. Meat processing so would build out some cold rooms in the space. Not reasonable on pricing.</t>
  </si>
  <si>
    <t>Toured through the 46k side &amp; it could work for the film production studio. They are needing 20' clear for an area but may be able to make it work since it works for their numbers. They have put a halt on the search.</t>
  </si>
  <si>
    <t>Sara Reimer- EXP</t>
  </si>
  <si>
    <t xml:space="preserve">Inquired on the listing as she has a sports use client needs space. Followed up but no feedback yet. </t>
  </si>
  <si>
    <t>Bern Dacasin</t>
  </si>
  <si>
    <t>Inquired &amp; follwed up twice but no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</si>
</sst>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8" formatCode="&quot;$&quot;#,##0.00_);[Red]\(&quot;$&quot;#,##0.00\)"/>
    <numFmt numFmtId="44" formatCode="_(&quot;$&quot;* #,##0.00_);_(&quot;$&quot;* \(#,##0.00\);_(&quot;$&quot;* &quot;-&quot;??_);_(@_)"/>
    <numFmt numFmtId="43" formatCode="_(* #,##0.00_);_(* \(#,##0.00\);_(* &quot;-&quot;??_);_(@_)"/>
    <numFmt numFmtId="164" formatCode="_(* #,##0_);_(* \(#,##0\);_(* &quot;-&quot;??_);_(@_)"/>
    <numFmt numFmtId="165" formatCode="&quot;$&quot;#,##0.00"/>
  </numFmts>
  <fonts count="7" x14ac:knownFonts="1">
    <font>
      <sz val="11"/>
      <color theme="1"/>
      <name val="Calibri"/>
      <family val="2"/>
      <scheme val="minor"/>
    </font>
    <font>
      <sz val="11"/>
      <color theme="1"/>
      <name val="Calibri"/>
      <family val="2"/>
      <scheme val="minor"/>
    </font>
    <font>
      <b/>
      <sz val="18"/>
      <color theme="1"/>
      <name val="Calibri"/>
      <family val="2"/>
      <scheme val="minor"/>
    </font>
    <font>
      <b/>
      <sz val="24"/>
      <color theme="1"/>
      <name val="Calibri"/>
      <family val="2"/>
      <scheme val="minor"/>
    </font>
    <font>
      <i/>
      <sz val="10"/>
      <color theme="1"/>
      <name val="Calibri"/>
      <family val="2"/>
      <scheme val="minor"/>
    </font>
    <font>
      <sz val="8"/>
      <name val="Calibri"/>
      <family val="2"/>
      <scheme val="minor"/>
    </font>
    <font>
      <sz val="12"/>
      <color theme="1"/>
      <name val="Calibri"/>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69">
    <xf numFmtId="0" fontId="0" fillId="0" borderId="0" xfId="0"/>
    <xf numFmtId="0" fontId="0" fillId="0" borderId="0" xfId="0" applyAlignment="1">
      <alignment vertical="center"/>
    </xf>
    <xf numFmtId="0" fontId="0" fillId="0" borderId="0" xfId="0" applyAlignment="1">
      <alignment horizontal="center" vertical="center"/>
    </xf>
    <xf numFmtId="44" fontId="0" fillId="0" borderId="0" xfId="1" applyFont="1"/>
    <xf numFmtId="0" fontId="0" fillId="0" borderId="0" xfId="0" applyAlignment="1">
      <alignment horizontal="center" vertical="center" wrapText="1"/>
    </xf>
    <xf numFmtId="44" fontId="0" fillId="0" borderId="0" xfId="1" applyFont="1" applyAlignment="1">
      <alignment horizontal="center" vertical="center" wrapText="1"/>
    </xf>
    <xf numFmtId="0" fontId="2" fillId="0" borderId="0" xfId="0" applyFont="1" applyAlignment="1">
      <alignment vertical="center"/>
    </xf>
    <xf numFmtId="0" fontId="3" fillId="0" borderId="0" xfId="0" applyFont="1" applyAlignment="1">
      <alignment vertical="center"/>
    </xf>
    <xf numFmtId="0" fontId="0" fillId="2" borderId="0" xfId="0" applyFill="1" applyAlignment="1">
      <alignment horizontal="center" vertical="center"/>
    </xf>
    <xf numFmtId="44" fontId="0" fillId="2" borderId="0" xfId="1" applyFont="1" applyFill="1" applyAlignment="1">
      <alignment horizontal="center" vertical="center"/>
    </xf>
    <xf numFmtId="164" fontId="0" fillId="0" borderId="0" xfId="2" applyNumberFormat="1" applyFont="1"/>
    <xf numFmtId="164" fontId="0" fillId="2" borderId="0" xfId="2" applyNumberFormat="1" applyFont="1" applyFill="1" applyAlignment="1">
      <alignment horizontal="center" vertical="center"/>
    </xf>
    <xf numFmtId="164" fontId="0" fillId="0" borderId="0" xfId="2" applyNumberFormat="1" applyFont="1" applyAlignment="1">
      <alignment horizontal="center" vertical="center" wrapText="1"/>
    </xf>
    <xf numFmtId="0" fontId="0" fillId="0" borderId="0" xfId="0" applyAlignment="1">
      <alignment horizontal="left" vertical="center"/>
    </xf>
    <xf numFmtId="0" fontId="4" fillId="0" borderId="0" xfId="0" applyFont="1" applyAlignment="1">
      <alignment horizontal="left" vertical="center"/>
    </xf>
    <xf numFmtId="14" fontId="0" fillId="0" borderId="0" xfId="1" applyNumberFormat="1" applyFont="1" applyAlignment="1">
      <alignment horizontal="center" vertical="center" wrapText="1"/>
    </xf>
    <xf numFmtId="0" fontId="0" fillId="0" borderId="1" xfId="0" applyBorder="1" applyAlignment="1">
      <alignment horizontal="center" vertical="center" wrapText="1"/>
    </xf>
    <xf numFmtId="164" fontId="0" fillId="0" borderId="1" xfId="2" applyNumberFormat="1" applyFont="1" applyBorder="1" applyAlignment="1">
      <alignment horizontal="center" vertical="center" wrapText="1"/>
    </xf>
    <xf numFmtId="44" fontId="0" fillId="0" borderId="1" xfId="1" applyFont="1" applyBorder="1" applyAlignment="1">
      <alignment horizontal="center" vertical="center" wrapText="1"/>
    </xf>
    <xf numFmtId="14" fontId="0" fillId="0" borderId="1" xfId="1" applyNumberFormat="1" applyFont="1" applyBorder="1" applyAlignment="1">
      <alignment horizontal="center" vertical="center" wrapText="1"/>
    </xf>
    <xf numFmtId="3" fontId="0" fillId="0" borderId="0" xfId="0" applyNumberFormat="1"/>
    <xf numFmtId="165" fontId="0" fillId="0" borderId="0" xfId="0" applyNumberFormat="1"/>
    <xf numFmtId="44" fontId="0" fillId="0" borderId="0" xfId="1" applyFont="1" applyAlignment="1">
      <alignment horizontal="center" vertical="center"/>
    </xf>
    <xf numFmtId="164" fontId="0" fillId="0" borderId="0" xfId="2" applyNumberFormat="1" applyFont="1" applyAlignment="1">
      <alignment horizontal="center" vertical="center"/>
    </xf>
    <xf numFmtId="0" fontId="0" fillId="0" borderId="1" xfId="0" applyBorder="1"/>
    <xf numFmtId="164" fontId="0" fillId="0" borderId="1" xfId="2" applyNumberFormat="1" applyFont="1" applyBorder="1" applyAlignment="1">
      <alignment horizontal="center" vertical="center"/>
    </xf>
    <xf numFmtId="44" fontId="0" fillId="0" borderId="1" xfId="1" applyFont="1" applyBorder="1" applyAlignment="1">
      <alignment horizontal="center" vertical="center"/>
    </xf>
    <xf numFmtId="44" fontId="0" fillId="0" borderId="1" xfId="1" applyFont="1" applyBorder="1"/>
    <xf numFmtId="0" fontId="0" fillId="2" borderId="1" xfId="0" applyFill="1" applyBorder="1" applyAlignment="1">
      <alignment horizontal="center" vertical="center"/>
    </xf>
    <xf numFmtId="164" fontId="0" fillId="2" borderId="1" xfId="2" applyNumberFormat="1" applyFont="1" applyFill="1" applyBorder="1" applyAlignment="1">
      <alignment horizontal="center" vertical="center"/>
    </xf>
    <xf numFmtId="44" fontId="0" fillId="2" borderId="1" xfId="1" applyFont="1" applyFill="1" applyBorder="1" applyAlignment="1">
      <alignment horizontal="center" vertical="center"/>
    </xf>
    <xf numFmtId="0" fontId="0" fillId="0" borderId="2" xfId="0" applyBorder="1"/>
    <xf numFmtId="0" fontId="0" fillId="0" borderId="3" xfId="0" applyBorder="1" applyAlignment="1">
      <alignment horizontal="center" vertical="center" wrapText="1"/>
    </xf>
    <xf numFmtId="164" fontId="0" fillId="0" borderId="3" xfId="2" applyNumberFormat="1" applyFont="1" applyBorder="1" applyAlignment="1">
      <alignment horizontal="center" vertical="center" wrapText="1"/>
    </xf>
    <xf numFmtId="44" fontId="0" fillId="0" borderId="3" xfId="1" applyFont="1" applyBorder="1" applyAlignment="1">
      <alignment horizontal="center" vertical="center" wrapText="1"/>
    </xf>
    <xf numFmtId="14" fontId="0" fillId="0" borderId="3" xfId="1" applyNumberFormat="1" applyFont="1" applyBorder="1" applyAlignment="1">
      <alignment horizontal="center" vertical="center" wrapText="1"/>
    </xf>
    <xf numFmtId="0" fontId="2" fillId="0" borderId="4" xfId="0" applyFont="1" applyBorder="1" applyAlignment="1">
      <alignment vertical="center"/>
    </xf>
    <xf numFmtId="0" fontId="0" fillId="0" borderId="5" xfId="0" applyBorder="1"/>
    <xf numFmtId="164" fontId="0" fillId="0" borderId="5" xfId="2" applyNumberFormat="1" applyFont="1" applyBorder="1" applyAlignment="1">
      <alignment horizontal="center" vertical="center"/>
    </xf>
    <xf numFmtId="44" fontId="0" fillId="0" borderId="5" xfId="1" applyFont="1" applyBorder="1" applyAlignment="1">
      <alignment horizontal="center" vertical="center"/>
    </xf>
    <xf numFmtId="44" fontId="0" fillId="0" borderId="5" xfId="1" applyFont="1" applyBorder="1"/>
    <xf numFmtId="0" fontId="0" fillId="0" borderId="6" xfId="0" applyBorder="1"/>
    <xf numFmtId="0" fontId="0" fillId="0" borderId="7" xfId="0" applyBorder="1" applyAlignment="1">
      <alignment vertical="center"/>
    </xf>
    <xf numFmtId="0" fontId="0" fillId="0" borderId="8" xfId="0" applyBorder="1"/>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2" fillId="0" borderId="5" xfId="0" applyFont="1" applyBorder="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5" borderId="12" xfId="0" applyFill="1" applyBorder="1" applyAlignment="1">
      <alignment horizontal="center" vertical="center" wrapText="1"/>
    </xf>
    <xf numFmtId="0" fontId="0" fillId="5" borderId="1" xfId="0" applyFill="1" applyBorder="1" applyAlignment="1">
      <alignment horizontal="center" vertical="center" wrapText="1"/>
    </xf>
    <xf numFmtId="164" fontId="0" fillId="5" borderId="1" xfId="2" applyNumberFormat="1" applyFont="1" applyFill="1" applyBorder="1" applyAlignment="1">
      <alignment horizontal="center" vertical="center" wrapText="1"/>
    </xf>
    <xf numFmtId="44" fontId="0" fillId="5" borderId="1" xfId="1" applyFont="1" applyFill="1" applyBorder="1" applyAlignment="1">
      <alignment horizontal="center" vertical="center" wrapText="1"/>
    </xf>
    <xf numFmtId="14" fontId="0" fillId="5" borderId="1" xfId="1" applyNumberFormat="1" applyFont="1" applyFill="1" applyBorder="1" applyAlignment="1">
      <alignment horizontal="center" vertical="center" wrapText="1"/>
    </xf>
    <xf numFmtId="0" fontId="0" fillId="5" borderId="13" xfId="0" applyFill="1" applyBorder="1" applyAlignment="1">
      <alignment horizontal="center" vertical="center" wrapText="1"/>
    </xf>
    <xf numFmtId="6" fontId="0" fillId="5" borderId="1" xfId="1" applyNumberFormat="1" applyFont="1" applyFill="1" applyBorder="1" applyAlignment="1">
      <alignment horizontal="center" vertical="center" wrapText="1"/>
    </xf>
    <xf numFmtId="0" fontId="0" fillId="5" borderId="7" xfId="0" applyFill="1" applyBorder="1" applyAlignment="1">
      <alignment horizontal="center" vertical="center" wrapText="1"/>
    </xf>
    <xf numFmtId="8" fontId="0" fillId="5" borderId="1" xfId="1" applyNumberFormat="1"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5" borderId="10" xfId="0" applyFill="1" applyBorder="1" applyAlignment="1">
      <alignment horizontal="center" vertical="center" wrapText="1"/>
    </xf>
    <xf numFmtId="164" fontId="0" fillId="5" borderId="10" xfId="2" applyNumberFormat="1" applyFont="1" applyFill="1" applyBorder="1" applyAlignment="1">
      <alignment horizontal="center" vertical="center" wrapText="1"/>
    </xf>
    <xf numFmtId="44" fontId="0" fillId="5" borderId="10" xfId="1" applyFont="1" applyFill="1" applyBorder="1" applyAlignment="1">
      <alignment horizontal="center" vertical="center" wrapText="1"/>
    </xf>
    <xf numFmtId="14" fontId="0" fillId="5" borderId="10" xfId="1" applyNumberFormat="1" applyFont="1" applyFill="1" applyBorder="1" applyAlignment="1">
      <alignment horizontal="center" vertical="center" wrapText="1"/>
    </xf>
    <xf numFmtId="0" fontId="6" fillId="5" borderId="11" xfId="0" applyFont="1" applyFill="1" applyBorder="1" applyAlignment="1">
      <alignment horizontal="center" vertical="center" wrapText="1"/>
    </xf>
    <xf numFmtId="0" fontId="0" fillId="0" borderId="5" xfId="0" applyBorder="1" applyAlignment="1">
      <alignment horizontal="center"/>
    </xf>
    <xf numFmtId="0" fontId="0" fillId="0" borderId="1" xfId="0" applyBorder="1" applyAlignment="1">
      <alignment horizontal="center"/>
    </xf>
    <xf numFmtId="0" fontId="0" fillId="0" borderId="0" xfId="0" applyAlignment="1">
      <alignment horizontal="center"/>
    </xf>
  </cellXfs>
  <cellStyles count="3">
    <cellStyle name="Comma" xfId="2" builtinId="3"/>
    <cellStyle name="Currency" xfId="1" builtinId="4"/>
    <cellStyle name="Normal" xfId="0" builtinId="0"/>
  </cellStyles>
  <dxfs count="31">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4" formatCode="_(* #,##0_);_(* \(#,##0\);_(* &quot;-&quot;??_);_(@_)"/>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4" tint="-0.499984740745262"/>
        </patternFill>
      </fill>
      <alignment horizontal="center" vertical="center" textRotation="0" wrapText="0" indent="0" justifyLastLine="0" shrinkToFit="0" readingOrder="0"/>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0_);_(* \(#,##0\);_(* &quot;-&quot;??_);_(@_)"/>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ill>
        <patternFill patternType="solid">
          <fgColor indexed="64"/>
          <bgColor theme="4" tint="-0.499984740745262"/>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theme="4" tint="-0.499984740745262"/>
        </patternFill>
      </fill>
    </dxf>
  </dxfs>
  <tableStyles count="1" defaultTableStyle="TableStyleMedium2" defaultPivotStyle="PivotStyleLight16">
    <tableStyle name="Table Style 1" pivot="0" count="1" xr9:uid="{C2B855B4-1870-4561-9DA5-D90922E4F00B}">
      <tableStyleElement type="firstRow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720459</xdr:colOff>
      <xdr:row>3</xdr:row>
      <xdr:rowOff>71439</xdr:rowOff>
    </xdr:from>
    <xdr:to>
      <xdr:col>13</xdr:col>
      <xdr:colOff>2283407</xdr:colOff>
      <xdr:row>5</xdr:row>
      <xdr:rowOff>1192</xdr:rowOff>
    </xdr:to>
    <xdr:pic>
      <xdr:nvPicPr>
        <xdr:cNvPr id="5" name="Picture 4">
          <a:extLst>
            <a:ext uri="{FF2B5EF4-FFF2-40B4-BE49-F238E27FC236}">
              <a16:creationId xmlns:a16="http://schemas.microsoft.com/office/drawing/2014/main" id="{51088852-F3F1-4065-83D3-60117BEE03B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56" t="22280" r="8275" b="20685"/>
        <a:stretch/>
      </xdr:blipFill>
      <xdr:spPr>
        <a:xfrm>
          <a:off x="12997126" y="621772"/>
          <a:ext cx="3249930" cy="1157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266700</xdr:colOff>
      <xdr:row>3</xdr:row>
      <xdr:rowOff>17224</xdr:rowOff>
    </xdr:from>
    <xdr:to>
      <xdr:col>12</xdr:col>
      <xdr:colOff>3524250</xdr:colOff>
      <xdr:row>6</xdr:row>
      <xdr:rowOff>20319</xdr:rowOff>
    </xdr:to>
    <xdr:pic>
      <xdr:nvPicPr>
        <xdr:cNvPr id="2" name="Picture 1">
          <a:extLst>
            <a:ext uri="{FF2B5EF4-FFF2-40B4-BE49-F238E27FC236}">
              <a16:creationId xmlns:a16="http://schemas.microsoft.com/office/drawing/2014/main" id="{40A26B6F-CF37-4C2F-8B4E-658450BAB32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656" t="22280" r="8275" b="20685"/>
        <a:stretch/>
      </xdr:blipFill>
      <xdr:spPr>
        <a:xfrm>
          <a:off x="10454640" y="565864"/>
          <a:ext cx="3257550" cy="116133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87C78B-FAEA-4C74-A44B-21EBB26B0D58}" name="Table1" displayName="Table1" ref="B6:N69" totalsRowShown="0" headerRowDxfId="29" dataDxfId="28" tableBorderDxfId="27">
  <autoFilter ref="B6:N69" xr:uid="{13E3BAF3-8F06-4AD0-918E-123D9485619C}"/>
  <sortState xmlns:xlrd2="http://schemas.microsoft.com/office/spreadsheetml/2017/richdata2" ref="B7:N69">
    <sortCondition descending="1" ref="L6:L69"/>
  </sortState>
  <tableColumns count="13">
    <tableColumn id="1" xr3:uid="{61B7ABDD-73F6-491B-AAFC-C325D51FFDAD}" name="Agent" dataDxfId="26"/>
    <tableColumn id="2" xr3:uid="{B6DE3B46-AC95-4C33-87C6-CECB063EBA4F}" name="Prospect" dataDxfId="25"/>
    <tableColumn id="11" xr3:uid="{EE94A9C2-94A0-4FD5-8342-3BDCE2BB4869}" name="Property" dataDxfId="24"/>
    <tableColumn id="15" xr3:uid="{6C82F6F5-0416-445D-9AC3-15CE96F31316}" name="Prospect Broker" dataDxfId="23"/>
    <tableColumn id="16" xr3:uid="{068C34E5-8875-4161-9652-37E4D2864283}" name="Contact" dataDxfId="22"/>
    <tableColumn id="3" xr3:uid="{B77F216E-7A26-4DCE-B495-F86E12E858BA}" name="Type" dataDxfId="21"/>
    <tableColumn id="8" xr3:uid="{4FBCC271-4ADD-4F76-9665-A771964B715F}" name="Size" dataDxfId="20" dataCellStyle="Comma"/>
    <tableColumn id="4" xr3:uid="{36BF97FD-95A3-4BEE-A0E2-4DA2D6F3FF40}" name="Quoted Rent" dataDxfId="19" dataCellStyle="Currency"/>
    <tableColumn id="5" xr3:uid="{7B975367-738A-4B30-8B19-68E09B5C4A3E}" name="Asking Price" dataDxfId="18" dataCellStyle="Currency"/>
    <tableColumn id="10" xr3:uid="{8A807440-6744-419E-B74D-478573616A62}" name="Initial Contact" dataDxfId="17" dataCellStyle="Currency"/>
    <tableColumn id="9" xr3:uid="{E7AF9A7D-FCEC-4454-9D22-5316BCDB30C5}" name="Last Update" dataDxfId="16" dataCellStyle="Currency"/>
    <tableColumn id="6" xr3:uid="{59FB4500-8156-4A41-8012-537B9C7D19A8}" name="Prospect Stage" dataDxfId="15"/>
    <tableColumn id="7" xr3:uid="{EA7662F5-490D-4D70-8B11-CE232B8E30BD}" name="Notes" dataDxfId="14"/>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9BF080-735F-481D-B9F7-E592ECD01D6B}" name="Table13" displayName="Table13" ref="B7:M34" totalsRowShown="0" headerRowDxfId="13" dataDxfId="12">
  <autoFilter ref="B7:M34" xr:uid="{13E3BAF3-8F06-4AD0-918E-123D9485619C}"/>
  <sortState xmlns:xlrd2="http://schemas.microsoft.com/office/spreadsheetml/2017/richdata2" ref="B8:M34">
    <sortCondition descending="1" ref="J7:J34"/>
  </sortState>
  <tableColumns count="12">
    <tableColumn id="1" xr3:uid="{9069AB6B-CE8F-40CB-9B3C-23A31F0881EF}" name="Agent" dataDxfId="11"/>
    <tableColumn id="2" xr3:uid="{6BCFFD0F-F510-47C6-9544-C62AB17CD8EE}" name="Prospect" dataDxfId="10"/>
    <tableColumn id="15" xr3:uid="{605E3EF0-98B5-484C-9E8B-7596EB95ACA1}" name="Prospect Broker" dataDxfId="9"/>
    <tableColumn id="16" xr3:uid="{874C8877-8BC3-429C-883E-099E29EAAD58}" name="Contact" dataDxfId="8"/>
    <tableColumn id="3" xr3:uid="{FEB929B8-726E-436C-9571-1DE7AE341DEC}" name="Type" dataDxfId="7"/>
    <tableColumn id="8" xr3:uid="{F12E8C43-3730-4F34-99B9-F25AECF38CE3}" name="Size" dataDxfId="6" dataCellStyle="Comma"/>
    <tableColumn id="4" xr3:uid="{D4D651D4-3189-41DF-B56B-C8B009FD9C48}" name="Quoted Rent" dataDxfId="5" dataCellStyle="Currency"/>
    <tableColumn id="5" xr3:uid="{FF30E652-9D83-4D26-832E-99E38CD15DF8}" name="Asking Price" dataDxfId="4" dataCellStyle="Currency"/>
    <tableColumn id="10" xr3:uid="{15468B5A-D35A-4CF0-9C41-6950F285E1CE}" name="Initial Contact" dataDxfId="3" dataCellStyle="Currency"/>
    <tableColumn id="9" xr3:uid="{1F09BB2A-6396-404D-A2F5-2EA70DCE1033}" name="Last Update" dataDxfId="2" dataCellStyle="Currency"/>
    <tableColumn id="6" xr3:uid="{46BDA55F-466C-458C-86A8-0BED2EE4B6DA}" name="Prospect Stage" dataDxfId="1"/>
    <tableColumn id="7" xr3:uid="{342C4603-0B4B-4F29-BF64-0C37733DF562}" name="Notes" dataDxfId="0"/>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BB232-82CD-416A-9BAF-1BE8BD3511A4}">
  <sheetPr>
    <pageSetUpPr fitToPage="1"/>
  </sheetPr>
  <dimension ref="B3:X69"/>
  <sheetViews>
    <sheetView tabSelected="1" view="pageBreakPreview" zoomScale="70" zoomScaleNormal="70" zoomScaleSheetLayoutView="70" workbookViewId="0">
      <selection activeCell="N8" sqref="N8"/>
    </sheetView>
  </sheetViews>
  <sheetFormatPr defaultRowHeight="14.5" x14ac:dyDescent="0.35"/>
  <cols>
    <col min="1" max="1" width="2" customWidth="1"/>
    <col min="2" max="2" width="13.81640625" customWidth="1"/>
    <col min="3" max="3" width="23.453125" customWidth="1"/>
    <col min="4" max="4" width="33.1796875" customWidth="1"/>
    <col min="5" max="5" width="30.453125" bestFit="1" customWidth="1"/>
    <col min="6" max="6" width="23.81640625" customWidth="1"/>
    <col min="7" max="7" width="14.453125" customWidth="1"/>
    <col min="8" max="8" width="22.7265625" style="23" customWidth="1"/>
    <col min="9" max="9" width="18.81640625" style="22" customWidth="1"/>
    <col min="10" max="10" width="12.81640625" style="3" hidden="1" customWidth="1"/>
    <col min="11" max="11" width="23" style="3" bestFit="1" customWidth="1"/>
    <col min="12" max="12" width="18" bestFit="1" customWidth="1"/>
    <col min="13" max="13" width="24.1796875" customWidth="1"/>
    <col min="14" max="14" width="61.81640625" customWidth="1"/>
  </cols>
  <sheetData>
    <row r="3" spans="2:14" ht="15" customHeight="1" thickBot="1" x14ac:dyDescent="0.4"/>
    <row r="4" spans="2:14" ht="48.65" customHeight="1" x14ac:dyDescent="0.35">
      <c r="B4" s="36" t="s">
        <v>14</v>
      </c>
      <c r="C4" s="37"/>
      <c r="D4" s="46" t="s">
        <v>29</v>
      </c>
      <c r="E4" s="37"/>
      <c r="F4" s="37"/>
      <c r="G4" s="37"/>
      <c r="H4" s="38"/>
      <c r="I4" s="39"/>
      <c r="J4" s="40"/>
      <c r="K4" s="40"/>
      <c r="L4" s="37"/>
      <c r="M4" s="66"/>
      <c r="N4" s="41"/>
    </row>
    <row r="5" spans="2:14" ht="48.65" customHeight="1" x14ac:dyDescent="0.35">
      <c r="B5" s="42" t="s">
        <v>15</v>
      </c>
      <c r="C5" s="24"/>
      <c r="D5" s="24"/>
      <c r="E5" s="24"/>
      <c r="F5" s="24"/>
      <c r="G5" s="24"/>
      <c r="H5" s="25"/>
      <c r="I5" s="26"/>
      <c r="J5" s="27"/>
      <c r="K5" s="27"/>
      <c r="L5" s="24"/>
      <c r="M5" s="67"/>
      <c r="N5" s="43"/>
    </row>
    <row r="6" spans="2:14" s="2" customFormat="1" ht="30" customHeight="1" x14ac:dyDescent="0.35">
      <c r="B6" s="44" t="s">
        <v>0</v>
      </c>
      <c r="C6" s="28" t="s">
        <v>2</v>
      </c>
      <c r="D6" s="28" t="s">
        <v>26</v>
      </c>
      <c r="E6" s="28" t="s">
        <v>3</v>
      </c>
      <c r="F6" s="28" t="s">
        <v>7</v>
      </c>
      <c r="G6" s="28" t="s">
        <v>1</v>
      </c>
      <c r="H6" s="29" t="s">
        <v>22</v>
      </c>
      <c r="I6" s="30" t="s">
        <v>5</v>
      </c>
      <c r="J6" s="30" t="s">
        <v>6</v>
      </c>
      <c r="K6" s="30" t="s">
        <v>23</v>
      </c>
      <c r="L6" s="30" t="s">
        <v>24</v>
      </c>
      <c r="M6" s="28" t="s">
        <v>8</v>
      </c>
      <c r="N6" s="45" t="s">
        <v>9</v>
      </c>
    </row>
    <row r="7" spans="2:14" s="48" customFormat="1" ht="72.75" customHeight="1" x14ac:dyDescent="0.35">
      <c r="B7" s="49" t="s">
        <v>51</v>
      </c>
      <c r="C7" s="50" t="s">
        <v>108</v>
      </c>
      <c r="D7" s="50" t="s">
        <v>29</v>
      </c>
      <c r="E7" s="50" t="s">
        <v>204</v>
      </c>
      <c r="F7" s="50" t="s">
        <v>220</v>
      </c>
      <c r="G7" s="50" t="s">
        <v>4</v>
      </c>
      <c r="H7" s="51">
        <v>46750</v>
      </c>
      <c r="I7" s="52" t="s">
        <v>207</v>
      </c>
      <c r="J7" s="52"/>
      <c r="K7" s="53">
        <v>45971</v>
      </c>
      <c r="L7" s="53">
        <v>45979</v>
      </c>
      <c r="M7" s="50" t="s">
        <v>16</v>
      </c>
      <c r="N7" s="54" t="s">
        <v>221</v>
      </c>
    </row>
    <row r="8" spans="2:14" s="48" customFormat="1" ht="72.75" customHeight="1" x14ac:dyDescent="0.35">
      <c r="B8" s="49" t="s">
        <v>51</v>
      </c>
      <c r="C8" s="50" t="s">
        <v>108</v>
      </c>
      <c r="D8" s="50" t="s">
        <v>29</v>
      </c>
      <c r="E8" s="50" t="s">
        <v>28</v>
      </c>
      <c r="F8" s="50" t="s">
        <v>222</v>
      </c>
      <c r="G8" s="50" t="s">
        <v>4</v>
      </c>
      <c r="H8" s="51">
        <v>46750</v>
      </c>
      <c r="I8" s="52" t="s">
        <v>207</v>
      </c>
      <c r="J8" s="52"/>
      <c r="K8" s="53">
        <v>45974</v>
      </c>
      <c r="L8" s="53">
        <v>45979</v>
      </c>
      <c r="M8" s="50" t="s">
        <v>16</v>
      </c>
      <c r="N8" s="54" t="s">
        <v>223</v>
      </c>
    </row>
    <row r="9" spans="2:14" s="48" customFormat="1" ht="72.75" customHeight="1" x14ac:dyDescent="0.35">
      <c r="B9" s="49" t="s">
        <v>51</v>
      </c>
      <c r="C9" s="50" t="s">
        <v>203</v>
      </c>
      <c r="D9" s="50" t="s">
        <v>29</v>
      </c>
      <c r="E9" s="50" t="s">
        <v>204</v>
      </c>
      <c r="F9" s="50" t="s">
        <v>205</v>
      </c>
      <c r="G9" s="50" t="s">
        <v>4</v>
      </c>
      <c r="H9" s="51">
        <v>46750</v>
      </c>
      <c r="I9" s="52" t="s">
        <v>207</v>
      </c>
      <c r="J9" s="52"/>
      <c r="K9" s="53">
        <v>45896</v>
      </c>
      <c r="L9" s="53">
        <v>45978</v>
      </c>
      <c r="M9" s="50" t="s">
        <v>21</v>
      </c>
      <c r="N9" s="54" t="s">
        <v>219</v>
      </c>
    </row>
    <row r="10" spans="2:14" s="48" customFormat="1" ht="72.75" customHeight="1" x14ac:dyDescent="0.35">
      <c r="B10" s="49" t="s">
        <v>51</v>
      </c>
      <c r="C10" s="50" t="s">
        <v>211</v>
      </c>
      <c r="D10" s="50" t="s">
        <v>29</v>
      </c>
      <c r="E10" s="50" t="s">
        <v>28</v>
      </c>
      <c r="F10" s="50" t="s">
        <v>212</v>
      </c>
      <c r="G10" s="50" t="s">
        <v>4</v>
      </c>
      <c r="H10" s="51" t="s">
        <v>213</v>
      </c>
      <c r="I10" s="52" t="s">
        <v>214</v>
      </c>
      <c r="J10" s="52"/>
      <c r="K10" s="53">
        <v>45936</v>
      </c>
      <c r="L10" s="53">
        <v>45955</v>
      </c>
      <c r="M10" s="50" t="s">
        <v>21</v>
      </c>
      <c r="N10" s="54" t="s">
        <v>218</v>
      </c>
    </row>
    <row r="11" spans="2:14" s="48" customFormat="1" ht="72.75" customHeight="1" x14ac:dyDescent="0.35">
      <c r="B11" s="49" t="s">
        <v>51</v>
      </c>
      <c r="C11" s="50" t="s">
        <v>215</v>
      </c>
      <c r="D11" s="50" t="s">
        <v>29</v>
      </c>
      <c r="E11" s="50" t="s">
        <v>204</v>
      </c>
      <c r="F11" s="50" t="s">
        <v>216</v>
      </c>
      <c r="G11" s="50" t="s">
        <v>48</v>
      </c>
      <c r="H11" s="51">
        <v>46750</v>
      </c>
      <c r="I11" s="52" t="s">
        <v>130</v>
      </c>
      <c r="J11" s="52"/>
      <c r="K11" s="53">
        <v>45905</v>
      </c>
      <c r="L11" s="53">
        <v>45914</v>
      </c>
      <c r="M11" s="50" t="s">
        <v>21</v>
      </c>
      <c r="N11" s="54" t="s">
        <v>217</v>
      </c>
    </row>
    <row r="12" spans="2:14" s="48" customFormat="1" ht="72.75" customHeight="1" x14ac:dyDescent="0.35">
      <c r="B12" s="49" t="s">
        <v>27</v>
      </c>
      <c r="C12" s="50" t="s">
        <v>193</v>
      </c>
      <c r="D12" s="50" t="s">
        <v>29</v>
      </c>
      <c r="E12" s="50" t="s">
        <v>28</v>
      </c>
      <c r="F12" s="50" t="s">
        <v>194</v>
      </c>
      <c r="G12" s="50" t="s">
        <v>48</v>
      </c>
      <c r="H12" s="51">
        <v>46750</v>
      </c>
      <c r="I12" s="52" t="s">
        <v>192</v>
      </c>
      <c r="J12" s="52"/>
      <c r="K12" s="53">
        <v>45890</v>
      </c>
      <c r="L12" s="53">
        <v>45895</v>
      </c>
      <c r="M12" s="50" t="s">
        <v>16</v>
      </c>
      <c r="N12" s="54" t="s">
        <v>195</v>
      </c>
    </row>
    <row r="13" spans="2:14" s="48" customFormat="1" ht="72.75" customHeight="1" x14ac:dyDescent="0.35">
      <c r="B13" s="49" t="s">
        <v>51</v>
      </c>
      <c r="C13" s="50" t="s">
        <v>199</v>
      </c>
      <c r="D13" s="50" t="s">
        <v>29</v>
      </c>
      <c r="E13" s="50" t="s">
        <v>28</v>
      </c>
      <c r="F13" s="50" t="s">
        <v>200</v>
      </c>
      <c r="G13" s="50" t="s">
        <v>10</v>
      </c>
      <c r="H13" s="51">
        <v>46750</v>
      </c>
      <c r="I13" s="52" t="s">
        <v>201</v>
      </c>
      <c r="J13" s="52"/>
      <c r="K13" s="53">
        <v>45890</v>
      </c>
      <c r="L13" s="53">
        <v>45895</v>
      </c>
      <c r="M13" s="50" t="s">
        <v>16</v>
      </c>
      <c r="N13" s="54" t="s">
        <v>202</v>
      </c>
    </row>
    <row r="14" spans="2:14" s="48" customFormat="1" ht="72.75" customHeight="1" x14ac:dyDescent="0.35">
      <c r="B14" s="49" t="s">
        <v>27</v>
      </c>
      <c r="C14" s="50" t="s">
        <v>189</v>
      </c>
      <c r="D14" s="50" t="s">
        <v>45</v>
      </c>
      <c r="E14" s="50" t="s">
        <v>190</v>
      </c>
      <c r="F14" s="50" t="s">
        <v>191</v>
      </c>
      <c r="G14" s="50" t="s">
        <v>48</v>
      </c>
      <c r="H14" s="51">
        <v>46750</v>
      </c>
      <c r="I14" s="52" t="s">
        <v>192</v>
      </c>
      <c r="J14" s="52"/>
      <c r="K14" s="53">
        <v>45894</v>
      </c>
      <c r="L14" s="53">
        <v>45894</v>
      </c>
      <c r="M14" s="50" t="s">
        <v>16</v>
      </c>
      <c r="N14" s="54" t="s">
        <v>210</v>
      </c>
    </row>
    <row r="15" spans="2:14" s="48" customFormat="1" ht="72.75" customHeight="1" x14ac:dyDescent="0.35">
      <c r="B15" s="49" t="s">
        <v>51</v>
      </c>
      <c r="C15" s="50" t="s">
        <v>196</v>
      </c>
      <c r="D15" s="50" t="s">
        <v>29</v>
      </c>
      <c r="E15" s="50" t="s">
        <v>28</v>
      </c>
      <c r="F15" s="50" t="s">
        <v>197</v>
      </c>
      <c r="G15" s="50" t="s">
        <v>48</v>
      </c>
      <c r="H15" s="51">
        <v>46750</v>
      </c>
      <c r="I15" s="52" t="s">
        <v>130</v>
      </c>
      <c r="J15" s="52"/>
      <c r="K15" s="53">
        <v>45859</v>
      </c>
      <c r="L15" s="53">
        <v>45890</v>
      </c>
      <c r="M15" s="50" t="s">
        <v>16</v>
      </c>
      <c r="N15" s="54" t="s">
        <v>198</v>
      </c>
    </row>
    <row r="16" spans="2:14" s="48" customFormat="1" ht="72.75" customHeight="1" x14ac:dyDescent="0.35">
      <c r="B16" s="49" t="s">
        <v>51</v>
      </c>
      <c r="C16" s="50" t="s">
        <v>74</v>
      </c>
      <c r="D16" s="50" t="s">
        <v>29</v>
      </c>
      <c r="E16" s="50" t="s">
        <v>28</v>
      </c>
      <c r="F16" s="50" t="s">
        <v>183</v>
      </c>
      <c r="G16" s="50" t="s">
        <v>48</v>
      </c>
      <c r="H16" s="51">
        <v>87000</v>
      </c>
      <c r="I16" s="52" t="s">
        <v>184</v>
      </c>
      <c r="J16" s="52"/>
      <c r="K16" s="53">
        <v>45859</v>
      </c>
      <c r="L16" s="53">
        <v>45881</v>
      </c>
      <c r="M16" s="50" t="s">
        <v>21</v>
      </c>
      <c r="N16" s="54" t="s">
        <v>186</v>
      </c>
    </row>
    <row r="17" spans="2:14" s="47" customFormat="1" ht="75" customHeight="1" x14ac:dyDescent="0.35">
      <c r="B17" s="49" t="s">
        <v>27</v>
      </c>
      <c r="C17" s="50" t="s">
        <v>181</v>
      </c>
      <c r="D17" s="50" t="s">
        <v>91</v>
      </c>
      <c r="E17" s="50" t="s">
        <v>180</v>
      </c>
      <c r="F17" s="50" t="s">
        <v>182</v>
      </c>
      <c r="G17" s="50" t="s">
        <v>10</v>
      </c>
      <c r="H17" s="51">
        <v>46750</v>
      </c>
      <c r="I17" s="52">
        <v>6</v>
      </c>
      <c r="J17" s="52"/>
      <c r="K17" s="53">
        <v>45880</v>
      </c>
      <c r="L17" s="53">
        <v>45880</v>
      </c>
      <c r="M17" s="50" t="s">
        <v>16</v>
      </c>
      <c r="N17" s="54" t="s">
        <v>185</v>
      </c>
    </row>
    <row r="18" spans="2:14" s="47" customFormat="1" ht="75" customHeight="1" x14ac:dyDescent="0.35">
      <c r="B18" s="49" t="s">
        <v>51</v>
      </c>
      <c r="C18" s="50" t="s">
        <v>179</v>
      </c>
      <c r="D18" s="50" t="s">
        <v>29</v>
      </c>
      <c r="E18" s="50" t="s">
        <v>28</v>
      </c>
      <c r="F18" s="50" t="s">
        <v>187</v>
      </c>
      <c r="G18" s="50" t="s">
        <v>129</v>
      </c>
      <c r="H18" s="51" t="s">
        <v>130</v>
      </c>
      <c r="I18" s="52" t="s">
        <v>173</v>
      </c>
      <c r="J18" s="52"/>
      <c r="K18" s="53">
        <v>45853</v>
      </c>
      <c r="L18" s="53">
        <v>45880</v>
      </c>
      <c r="M18" s="50" t="s">
        <v>16</v>
      </c>
      <c r="N18" s="54" t="s">
        <v>188</v>
      </c>
    </row>
    <row r="19" spans="2:14" ht="64.75" customHeight="1" x14ac:dyDescent="0.35">
      <c r="B19" s="49" t="s">
        <v>163</v>
      </c>
      <c r="C19" s="50" t="s">
        <v>164</v>
      </c>
      <c r="D19" s="50" t="s">
        <v>29</v>
      </c>
      <c r="E19" s="50" t="s">
        <v>28</v>
      </c>
      <c r="F19" s="50" t="s">
        <v>165</v>
      </c>
      <c r="G19" s="50" t="s">
        <v>129</v>
      </c>
      <c r="H19" s="51" t="s">
        <v>166</v>
      </c>
      <c r="I19" s="52" t="s">
        <v>130</v>
      </c>
      <c r="J19" s="52"/>
      <c r="K19" s="53">
        <v>45851</v>
      </c>
      <c r="L19" s="53">
        <v>45879</v>
      </c>
      <c r="M19" s="50" t="s">
        <v>16</v>
      </c>
      <c r="N19" s="54" t="s">
        <v>167</v>
      </c>
    </row>
    <row r="20" spans="2:14" ht="64.75" customHeight="1" x14ac:dyDescent="0.35">
      <c r="B20" s="49" t="s">
        <v>51</v>
      </c>
      <c r="C20" s="50" t="s">
        <v>169</v>
      </c>
      <c r="D20" s="50" t="s">
        <v>170</v>
      </c>
      <c r="E20" s="50" t="s">
        <v>171</v>
      </c>
      <c r="F20" s="50" t="s">
        <v>172</v>
      </c>
      <c r="G20" s="50" t="s">
        <v>10</v>
      </c>
      <c r="H20" s="51" t="s">
        <v>174</v>
      </c>
      <c r="I20" s="52" t="s">
        <v>173</v>
      </c>
      <c r="J20" s="52"/>
      <c r="K20" s="53">
        <v>45852</v>
      </c>
      <c r="L20" s="53">
        <v>45852</v>
      </c>
      <c r="M20" s="50" t="s">
        <v>16</v>
      </c>
      <c r="N20" s="54" t="s">
        <v>175</v>
      </c>
    </row>
    <row r="21" spans="2:14" ht="64.75" customHeight="1" x14ac:dyDescent="0.35">
      <c r="B21" s="49" t="s">
        <v>27</v>
      </c>
      <c r="C21" s="50" t="s">
        <v>176</v>
      </c>
      <c r="D21" s="50" t="s">
        <v>170</v>
      </c>
      <c r="E21" s="50" t="s">
        <v>177</v>
      </c>
      <c r="F21" s="50" t="s">
        <v>161</v>
      </c>
      <c r="G21" s="50" t="s">
        <v>48</v>
      </c>
      <c r="H21" s="51">
        <v>46785</v>
      </c>
      <c r="I21" s="52" t="s">
        <v>130</v>
      </c>
      <c r="J21" s="52"/>
      <c r="K21" s="53">
        <v>45847</v>
      </c>
      <c r="L21" s="53">
        <v>45852</v>
      </c>
      <c r="M21" s="50" t="s">
        <v>21</v>
      </c>
      <c r="N21" s="54" t="s">
        <v>178</v>
      </c>
    </row>
    <row r="22" spans="2:14" ht="64.75" customHeight="1" x14ac:dyDescent="0.35">
      <c r="B22" s="49" t="s">
        <v>51</v>
      </c>
      <c r="C22" s="50" t="s">
        <v>156</v>
      </c>
      <c r="D22" s="50" t="s">
        <v>29</v>
      </c>
      <c r="E22" s="50" t="s">
        <v>151</v>
      </c>
      <c r="F22" s="50" t="s">
        <v>152</v>
      </c>
      <c r="G22" s="50" t="s">
        <v>129</v>
      </c>
      <c r="H22" s="51">
        <v>46785</v>
      </c>
      <c r="I22" s="52" t="s">
        <v>130</v>
      </c>
      <c r="J22" s="52"/>
      <c r="K22" s="53">
        <v>45810</v>
      </c>
      <c r="L22" s="53">
        <v>45848</v>
      </c>
      <c r="M22" s="50" t="s">
        <v>17</v>
      </c>
      <c r="N22" s="54" t="s">
        <v>168</v>
      </c>
    </row>
    <row r="23" spans="2:14" ht="64.75" customHeight="1" x14ac:dyDescent="0.35">
      <c r="B23" s="49" t="s">
        <v>51</v>
      </c>
      <c r="C23" s="50" t="s">
        <v>157</v>
      </c>
      <c r="D23" s="50" t="s">
        <v>29</v>
      </c>
      <c r="E23" s="50" t="s">
        <v>158</v>
      </c>
      <c r="F23" s="50" t="s">
        <v>159</v>
      </c>
      <c r="G23" s="50" t="s">
        <v>129</v>
      </c>
      <c r="H23" s="51">
        <v>46785</v>
      </c>
      <c r="I23" s="52" t="s">
        <v>130</v>
      </c>
      <c r="J23" s="52"/>
      <c r="K23" s="53">
        <v>45839</v>
      </c>
      <c r="L23" s="53">
        <v>45839</v>
      </c>
      <c r="M23" s="50" t="s">
        <v>16</v>
      </c>
      <c r="N23" s="54" t="s">
        <v>160</v>
      </c>
    </row>
    <row r="24" spans="2:14" ht="64.75" customHeight="1" x14ac:dyDescent="0.35">
      <c r="B24" s="49" t="s">
        <v>51</v>
      </c>
      <c r="C24" s="50" t="s">
        <v>52</v>
      </c>
      <c r="D24" s="50" t="s">
        <v>29</v>
      </c>
      <c r="E24" s="50" t="s">
        <v>28</v>
      </c>
      <c r="F24" s="50" t="s">
        <v>161</v>
      </c>
      <c r="G24" s="50" t="s">
        <v>108</v>
      </c>
      <c r="H24" s="51">
        <v>46785</v>
      </c>
      <c r="I24" s="52" t="s">
        <v>108</v>
      </c>
      <c r="J24" s="52"/>
      <c r="K24" s="53">
        <v>45831</v>
      </c>
      <c r="L24" s="53">
        <v>45833</v>
      </c>
      <c r="M24" s="50" t="s">
        <v>16</v>
      </c>
      <c r="N24" s="54" t="s">
        <v>162</v>
      </c>
    </row>
    <row r="25" spans="2:14" ht="64.75" customHeight="1" x14ac:dyDescent="0.35">
      <c r="B25" s="49" t="s">
        <v>51</v>
      </c>
      <c r="C25" s="50" t="s">
        <v>52</v>
      </c>
      <c r="D25" s="50" t="s">
        <v>29</v>
      </c>
      <c r="E25" s="50" t="s">
        <v>28</v>
      </c>
      <c r="F25" s="50" t="s">
        <v>154</v>
      </c>
      <c r="G25" s="50" t="s">
        <v>10</v>
      </c>
      <c r="H25" s="51">
        <v>46785</v>
      </c>
      <c r="I25" s="52" t="s">
        <v>73</v>
      </c>
      <c r="J25" s="52"/>
      <c r="K25" s="53">
        <v>45820</v>
      </c>
      <c r="L25" s="53">
        <v>45820</v>
      </c>
      <c r="M25" s="50" t="s">
        <v>16</v>
      </c>
      <c r="N25" s="54" t="s">
        <v>155</v>
      </c>
    </row>
    <row r="26" spans="2:14" ht="64.75" customHeight="1" x14ac:dyDescent="0.35">
      <c r="B26" s="49" t="s">
        <v>27</v>
      </c>
      <c r="C26" s="50" t="s">
        <v>42</v>
      </c>
      <c r="D26" s="50" t="s">
        <v>45</v>
      </c>
      <c r="E26" s="50" t="s">
        <v>117</v>
      </c>
      <c r="F26" s="50" t="s">
        <v>118</v>
      </c>
      <c r="G26" s="50" t="s">
        <v>10</v>
      </c>
      <c r="H26" s="51">
        <v>15000</v>
      </c>
      <c r="I26" s="52">
        <v>10</v>
      </c>
      <c r="J26" s="52"/>
      <c r="K26" s="53">
        <v>45769</v>
      </c>
      <c r="L26" s="53">
        <v>45817</v>
      </c>
      <c r="M26" s="50" t="s">
        <v>20</v>
      </c>
      <c r="N26" s="54" t="s">
        <v>153</v>
      </c>
    </row>
    <row r="27" spans="2:14" ht="64.75" customHeight="1" x14ac:dyDescent="0.35">
      <c r="B27" s="49" t="s">
        <v>51</v>
      </c>
      <c r="C27" s="50" t="s">
        <v>206</v>
      </c>
      <c r="D27" s="50" t="s">
        <v>29</v>
      </c>
      <c r="E27" s="50" t="s">
        <v>204</v>
      </c>
      <c r="F27" s="50" t="s">
        <v>208</v>
      </c>
      <c r="G27" s="50" t="s">
        <v>48</v>
      </c>
      <c r="H27" s="51">
        <v>46750</v>
      </c>
      <c r="I27" s="52" t="s">
        <v>130</v>
      </c>
      <c r="J27" s="52"/>
      <c r="K27" s="53">
        <v>45905</v>
      </c>
      <c r="L27" s="53">
        <v>45816</v>
      </c>
      <c r="M27" s="50" t="s">
        <v>21</v>
      </c>
      <c r="N27" s="54" t="s">
        <v>209</v>
      </c>
    </row>
    <row r="28" spans="2:14" ht="64.75" customHeight="1" x14ac:dyDescent="0.35">
      <c r="B28" s="49" t="s">
        <v>27</v>
      </c>
      <c r="C28" s="50" t="s">
        <v>146</v>
      </c>
      <c r="D28" s="50" t="s">
        <v>29</v>
      </c>
      <c r="E28" s="50" t="s">
        <v>140</v>
      </c>
      <c r="F28" s="50" t="s">
        <v>141</v>
      </c>
      <c r="G28" s="50" t="s">
        <v>10</v>
      </c>
      <c r="H28" s="51">
        <v>46785</v>
      </c>
      <c r="I28" s="52" t="s">
        <v>125</v>
      </c>
      <c r="J28" s="52"/>
      <c r="K28" s="53">
        <v>45799</v>
      </c>
      <c r="L28" s="53">
        <v>45799</v>
      </c>
      <c r="M28" s="50" t="s">
        <v>17</v>
      </c>
      <c r="N28" s="54" t="s">
        <v>142</v>
      </c>
    </row>
    <row r="29" spans="2:14" ht="64.75" customHeight="1" x14ac:dyDescent="0.35">
      <c r="B29" s="49" t="s">
        <v>27</v>
      </c>
      <c r="C29" s="50" t="s">
        <v>52</v>
      </c>
      <c r="D29" s="50" t="s">
        <v>29</v>
      </c>
      <c r="E29" s="50" t="s">
        <v>126</v>
      </c>
      <c r="F29" s="50" t="s">
        <v>124</v>
      </c>
      <c r="G29" s="50" t="s">
        <v>10</v>
      </c>
      <c r="H29" s="51">
        <v>46785</v>
      </c>
      <c r="I29" s="52" t="s">
        <v>125</v>
      </c>
      <c r="J29" s="52"/>
      <c r="K29" s="53">
        <v>45797</v>
      </c>
      <c r="L29" s="53">
        <v>45797</v>
      </c>
      <c r="M29" s="50" t="s">
        <v>16</v>
      </c>
      <c r="N29" s="54" t="s">
        <v>145</v>
      </c>
    </row>
    <row r="30" spans="2:14" ht="64.75" customHeight="1" x14ac:dyDescent="0.35">
      <c r="B30" s="49" t="s">
        <v>51</v>
      </c>
      <c r="C30" s="50" t="s">
        <v>52</v>
      </c>
      <c r="D30" s="50" t="s">
        <v>29</v>
      </c>
      <c r="E30" s="50" t="s">
        <v>131</v>
      </c>
      <c r="F30" s="50" t="s">
        <v>132</v>
      </c>
      <c r="G30" s="50" t="s">
        <v>129</v>
      </c>
      <c r="H30" s="51">
        <v>46785</v>
      </c>
      <c r="I30" s="55">
        <v>90</v>
      </c>
      <c r="J30" s="52"/>
      <c r="K30" s="53">
        <v>45784</v>
      </c>
      <c r="L30" s="53">
        <v>45785</v>
      </c>
      <c r="M30" s="50" t="s">
        <v>16</v>
      </c>
      <c r="N30" s="54" t="s">
        <v>143</v>
      </c>
    </row>
    <row r="31" spans="2:14" ht="64.75" customHeight="1" x14ac:dyDescent="0.35">
      <c r="B31" s="49" t="s">
        <v>27</v>
      </c>
      <c r="C31" s="50" t="s">
        <v>52</v>
      </c>
      <c r="D31" s="50" t="s">
        <v>29</v>
      </c>
      <c r="E31" s="50" t="s">
        <v>128</v>
      </c>
      <c r="F31" s="50" t="s">
        <v>127</v>
      </c>
      <c r="G31" s="50" t="s">
        <v>129</v>
      </c>
      <c r="H31" s="51">
        <v>46785</v>
      </c>
      <c r="I31" s="55" t="s">
        <v>130</v>
      </c>
      <c r="J31" s="52"/>
      <c r="K31" s="53">
        <v>45783</v>
      </c>
      <c r="L31" s="53">
        <v>45784</v>
      </c>
      <c r="M31" s="50" t="s">
        <v>16</v>
      </c>
      <c r="N31" s="54" t="s">
        <v>139</v>
      </c>
    </row>
    <row r="32" spans="2:14" ht="64.75" customHeight="1" x14ac:dyDescent="0.35">
      <c r="B32" s="49" t="s">
        <v>51</v>
      </c>
      <c r="C32" s="50" t="s">
        <v>147</v>
      </c>
      <c r="D32" s="50" t="s">
        <v>29</v>
      </c>
      <c r="E32" s="50" t="s">
        <v>28</v>
      </c>
      <c r="F32" s="50" t="s">
        <v>148</v>
      </c>
      <c r="G32" s="50" t="s">
        <v>10</v>
      </c>
      <c r="H32" s="51">
        <v>5000</v>
      </c>
      <c r="I32" s="52" t="s">
        <v>149</v>
      </c>
      <c r="J32" s="52"/>
      <c r="K32" s="53">
        <v>45780</v>
      </c>
      <c r="L32" s="53">
        <v>45780</v>
      </c>
      <c r="M32" s="50" t="s">
        <v>17</v>
      </c>
      <c r="N32" s="54" t="s">
        <v>150</v>
      </c>
    </row>
    <row r="33" spans="2:14" ht="64.75" customHeight="1" x14ac:dyDescent="0.35">
      <c r="B33" s="49" t="s">
        <v>51</v>
      </c>
      <c r="C33" s="50" t="s">
        <v>52</v>
      </c>
      <c r="D33" s="50" t="s">
        <v>29</v>
      </c>
      <c r="E33" s="50" t="s">
        <v>133</v>
      </c>
      <c r="F33" s="50" t="s">
        <v>134</v>
      </c>
      <c r="G33" s="50" t="s">
        <v>129</v>
      </c>
      <c r="H33" s="51">
        <v>46785</v>
      </c>
      <c r="I33" s="55">
        <v>90</v>
      </c>
      <c r="J33" s="52"/>
      <c r="K33" s="53">
        <v>45779</v>
      </c>
      <c r="L33" s="53">
        <v>45779</v>
      </c>
      <c r="M33" s="50" t="s">
        <v>16</v>
      </c>
      <c r="N33" s="54" t="s">
        <v>135</v>
      </c>
    </row>
    <row r="34" spans="2:14" ht="64.75" customHeight="1" x14ac:dyDescent="0.35">
      <c r="B34" s="49" t="s">
        <v>136</v>
      </c>
      <c r="C34" s="50" t="s">
        <v>52</v>
      </c>
      <c r="D34" s="50" t="s">
        <v>29</v>
      </c>
      <c r="E34" s="50" t="s">
        <v>137</v>
      </c>
      <c r="F34" s="50" t="s">
        <v>138</v>
      </c>
      <c r="G34" s="50" t="s">
        <v>129</v>
      </c>
      <c r="H34" s="51">
        <v>46785</v>
      </c>
      <c r="I34" s="55">
        <v>90</v>
      </c>
      <c r="J34" s="52"/>
      <c r="K34" s="53">
        <v>45777</v>
      </c>
      <c r="L34" s="53">
        <v>45779</v>
      </c>
      <c r="M34" s="50" t="s">
        <v>16</v>
      </c>
      <c r="N34" s="54" t="s">
        <v>144</v>
      </c>
    </row>
    <row r="35" spans="2:14" ht="64.75" customHeight="1" x14ac:dyDescent="0.35">
      <c r="B35" s="49" t="s">
        <v>27</v>
      </c>
      <c r="C35" s="50" t="s">
        <v>103</v>
      </c>
      <c r="D35" s="50" t="s">
        <v>29</v>
      </c>
      <c r="E35" s="50" t="s">
        <v>104</v>
      </c>
      <c r="F35" s="50" t="s">
        <v>105</v>
      </c>
      <c r="G35" s="50" t="s">
        <v>10</v>
      </c>
      <c r="H35" s="51">
        <v>46785</v>
      </c>
      <c r="I35" s="52">
        <v>7.5</v>
      </c>
      <c r="J35" s="52"/>
      <c r="K35" s="53">
        <v>45755</v>
      </c>
      <c r="L35" s="53">
        <v>45769</v>
      </c>
      <c r="M35" s="50" t="s">
        <v>17</v>
      </c>
      <c r="N35" s="54" t="s">
        <v>123</v>
      </c>
    </row>
    <row r="36" spans="2:14" ht="64.75" customHeight="1" x14ac:dyDescent="0.35">
      <c r="B36" s="49" t="s">
        <v>51</v>
      </c>
      <c r="C36" s="50" t="s">
        <v>119</v>
      </c>
      <c r="D36" s="50" t="s">
        <v>29</v>
      </c>
      <c r="E36" s="50" t="s">
        <v>120</v>
      </c>
      <c r="F36" s="50" t="s">
        <v>121</v>
      </c>
      <c r="G36" s="50" t="s">
        <v>10</v>
      </c>
      <c r="H36" s="51">
        <v>30000</v>
      </c>
      <c r="I36" s="52">
        <v>7</v>
      </c>
      <c r="J36" s="52"/>
      <c r="K36" s="53">
        <v>45762</v>
      </c>
      <c r="L36" s="53">
        <v>45763</v>
      </c>
      <c r="M36" s="50" t="s">
        <v>16</v>
      </c>
      <c r="N36" s="54" t="s">
        <v>122</v>
      </c>
    </row>
    <row r="37" spans="2:14" ht="64.75" customHeight="1" x14ac:dyDescent="0.35">
      <c r="B37" s="49" t="s">
        <v>27</v>
      </c>
      <c r="C37" s="50" t="s">
        <v>42</v>
      </c>
      <c r="D37" s="50" t="s">
        <v>91</v>
      </c>
      <c r="E37" s="50" t="s">
        <v>112</v>
      </c>
      <c r="F37" s="50" t="s">
        <v>113</v>
      </c>
      <c r="G37" s="50" t="s">
        <v>10</v>
      </c>
      <c r="H37" s="51" t="s">
        <v>114</v>
      </c>
      <c r="I37" s="52">
        <v>7</v>
      </c>
      <c r="J37" s="52"/>
      <c r="K37" s="53">
        <v>45748</v>
      </c>
      <c r="L37" s="53">
        <v>45758</v>
      </c>
      <c r="M37" s="50" t="s">
        <v>16</v>
      </c>
      <c r="N37" s="54" t="s">
        <v>115</v>
      </c>
    </row>
    <row r="38" spans="2:14" ht="64.75" customHeight="1" x14ac:dyDescent="0.35">
      <c r="B38" s="49" t="s">
        <v>51</v>
      </c>
      <c r="C38" s="50" t="s">
        <v>106</v>
      </c>
      <c r="D38" s="50" t="s">
        <v>45</v>
      </c>
      <c r="E38" s="50" t="s">
        <v>28</v>
      </c>
      <c r="F38" s="50" t="s">
        <v>107</v>
      </c>
      <c r="G38" s="50" t="s">
        <v>10</v>
      </c>
      <c r="H38" s="51">
        <v>9000</v>
      </c>
      <c r="I38" s="52" t="s">
        <v>108</v>
      </c>
      <c r="J38" s="52"/>
      <c r="K38" s="53">
        <v>45756</v>
      </c>
      <c r="L38" s="53">
        <v>45757</v>
      </c>
      <c r="M38" s="50" t="s">
        <v>16</v>
      </c>
      <c r="N38" s="54" t="s">
        <v>116</v>
      </c>
    </row>
    <row r="39" spans="2:14" ht="64.75" customHeight="1" x14ac:dyDescent="0.35">
      <c r="B39" s="49" t="s">
        <v>51</v>
      </c>
      <c r="C39" s="50" t="s">
        <v>52</v>
      </c>
      <c r="D39" s="50" t="s">
        <v>29</v>
      </c>
      <c r="E39" s="50" t="s">
        <v>110</v>
      </c>
      <c r="F39" s="50" t="s">
        <v>109</v>
      </c>
      <c r="G39" s="50" t="s">
        <v>10</v>
      </c>
      <c r="H39" s="51" t="s">
        <v>111</v>
      </c>
      <c r="I39" s="52">
        <v>7</v>
      </c>
      <c r="J39" s="52"/>
      <c r="K39" s="53">
        <v>45754</v>
      </c>
      <c r="L39" s="53">
        <v>45755</v>
      </c>
      <c r="M39" s="50" t="s">
        <v>16</v>
      </c>
      <c r="N39" s="54"/>
    </row>
    <row r="40" spans="2:14" ht="64.75" customHeight="1" x14ac:dyDescent="0.35">
      <c r="B40" s="49" t="s">
        <v>63</v>
      </c>
      <c r="C40" s="50" t="s">
        <v>100</v>
      </c>
      <c r="D40" s="50" t="s">
        <v>45</v>
      </c>
      <c r="E40" s="50" t="s">
        <v>28</v>
      </c>
      <c r="F40" s="50" t="s">
        <v>101</v>
      </c>
      <c r="G40" s="50" t="s">
        <v>10</v>
      </c>
      <c r="H40" s="51">
        <v>46785</v>
      </c>
      <c r="I40" s="52">
        <v>7.5</v>
      </c>
      <c r="J40" s="52"/>
      <c r="K40" s="53">
        <v>45740</v>
      </c>
      <c r="L40" s="53">
        <v>45741</v>
      </c>
      <c r="M40" s="50" t="s">
        <v>16</v>
      </c>
      <c r="N40" s="54" t="s">
        <v>102</v>
      </c>
    </row>
    <row r="41" spans="2:14" ht="64.75" customHeight="1" x14ac:dyDescent="0.35">
      <c r="B41" s="49" t="s">
        <v>27</v>
      </c>
      <c r="C41" s="50" t="s">
        <v>96</v>
      </c>
      <c r="D41" s="50" t="s">
        <v>29</v>
      </c>
      <c r="E41" s="50" t="s">
        <v>28</v>
      </c>
      <c r="F41" s="50" t="s">
        <v>97</v>
      </c>
      <c r="G41" s="50" t="s">
        <v>10</v>
      </c>
      <c r="H41" s="51">
        <v>46785</v>
      </c>
      <c r="I41" s="52">
        <v>7.5</v>
      </c>
      <c r="J41" s="52"/>
      <c r="K41" s="53">
        <v>45740</v>
      </c>
      <c r="L41" s="53">
        <v>45741</v>
      </c>
      <c r="M41" s="50" t="s">
        <v>16</v>
      </c>
      <c r="N41" s="54" t="s">
        <v>98</v>
      </c>
    </row>
    <row r="42" spans="2:14" ht="64.75" customHeight="1" x14ac:dyDescent="0.35">
      <c r="B42" s="49" t="s">
        <v>63</v>
      </c>
      <c r="C42" s="50" t="s">
        <v>94</v>
      </c>
      <c r="D42" s="50" t="s">
        <v>45</v>
      </c>
      <c r="E42" s="50" t="s">
        <v>28</v>
      </c>
      <c r="F42" s="50" t="s">
        <v>95</v>
      </c>
      <c r="G42" s="50" t="s">
        <v>10</v>
      </c>
      <c r="H42" s="51">
        <v>46785</v>
      </c>
      <c r="I42" s="52">
        <v>7.5</v>
      </c>
      <c r="J42" s="52"/>
      <c r="K42" s="53">
        <v>45739</v>
      </c>
      <c r="L42" s="53">
        <v>45741</v>
      </c>
      <c r="M42" s="50" t="s">
        <v>16</v>
      </c>
      <c r="N42" s="54" t="s">
        <v>99</v>
      </c>
    </row>
    <row r="43" spans="2:14" ht="64.75" customHeight="1" x14ac:dyDescent="0.35">
      <c r="B43" s="49" t="s">
        <v>27</v>
      </c>
      <c r="C43" s="50" t="s">
        <v>90</v>
      </c>
      <c r="D43" s="50" t="s">
        <v>91</v>
      </c>
      <c r="E43" s="50" t="s">
        <v>28</v>
      </c>
      <c r="F43" s="50" t="s">
        <v>90</v>
      </c>
      <c r="G43" s="50" t="s">
        <v>10</v>
      </c>
      <c r="H43" s="51">
        <v>46785</v>
      </c>
      <c r="I43" s="52">
        <v>7.5</v>
      </c>
      <c r="J43" s="52"/>
      <c r="K43" s="53">
        <v>45736</v>
      </c>
      <c r="L43" s="53">
        <v>45737</v>
      </c>
      <c r="M43" s="50" t="s">
        <v>16</v>
      </c>
      <c r="N43" s="54" t="s">
        <v>92</v>
      </c>
    </row>
    <row r="44" spans="2:14" ht="64.75" customHeight="1" x14ac:dyDescent="0.35">
      <c r="B44" s="49" t="s">
        <v>51</v>
      </c>
      <c r="C44" s="50" t="s">
        <v>88</v>
      </c>
      <c r="D44" s="50" t="s">
        <v>29</v>
      </c>
      <c r="E44" s="50" t="s">
        <v>28</v>
      </c>
      <c r="F44" s="50" t="s">
        <v>89</v>
      </c>
      <c r="G44" s="50" t="s">
        <v>10</v>
      </c>
      <c r="H44" s="51">
        <v>35000</v>
      </c>
      <c r="I44" s="52">
        <v>7.5</v>
      </c>
      <c r="J44" s="52"/>
      <c r="K44" s="53">
        <v>45721</v>
      </c>
      <c r="L44" s="53">
        <v>45727</v>
      </c>
      <c r="M44" s="50" t="s">
        <v>21</v>
      </c>
      <c r="N44" s="54" t="s">
        <v>93</v>
      </c>
    </row>
    <row r="45" spans="2:14" ht="64.75" customHeight="1" x14ac:dyDescent="0.35">
      <c r="B45" s="56" t="s">
        <v>27</v>
      </c>
      <c r="C45" s="50" t="s">
        <v>42</v>
      </c>
      <c r="D45" s="50" t="s">
        <v>45</v>
      </c>
      <c r="E45" s="50" t="s">
        <v>82</v>
      </c>
      <c r="F45" s="50" t="s">
        <v>83</v>
      </c>
      <c r="G45" s="50" t="s">
        <v>10</v>
      </c>
      <c r="H45" s="51">
        <v>20000</v>
      </c>
      <c r="I45" s="57" t="s">
        <v>55</v>
      </c>
      <c r="J45" s="52"/>
      <c r="K45" s="53">
        <v>45713</v>
      </c>
      <c r="L45" s="53">
        <v>45713</v>
      </c>
      <c r="M45" s="50" t="s">
        <v>16</v>
      </c>
      <c r="N45" s="58" t="s">
        <v>84</v>
      </c>
    </row>
    <row r="46" spans="2:14" ht="64.75" customHeight="1" x14ac:dyDescent="0.35">
      <c r="B46" s="49" t="s">
        <v>27</v>
      </c>
      <c r="C46" s="50" t="s">
        <v>42</v>
      </c>
      <c r="D46" s="50" t="s">
        <v>45</v>
      </c>
      <c r="E46" s="50" t="s">
        <v>43</v>
      </c>
      <c r="F46" s="50" t="s">
        <v>44</v>
      </c>
      <c r="G46" s="50" t="s">
        <v>10</v>
      </c>
      <c r="H46" s="51">
        <v>46785</v>
      </c>
      <c r="I46" s="52" t="s">
        <v>33</v>
      </c>
      <c r="J46" s="52"/>
      <c r="K46" s="53">
        <v>45713</v>
      </c>
      <c r="L46" s="53">
        <v>45713</v>
      </c>
      <c r="M46" s="50" t="s">
        <v>16</v>
      </c>
      <c r="N46" s="59" t="s">
        <v>81</v>
      </c>
    </row>
    <row r="47" spans="2:14" ht="64.75" customHeight="1" x14ac:dyDescent="0.35">
      <c r="B47" s="49" t="s">
        <v>27</v>
      </c>
      <c r="C47" s="50" t="s">
        <v>42</v>
      </c>
      <c r="D47" s="50" t="s">
        <v>45</v>
      </c>
      <c r="E47" s="50" t="s">
        <v>70</v>
      </c>
      <c r="F47" s="50" t="s">
        <v>71</v>
      </c>
      <c r="G47" s="50" t="s">
        <v>10</v>
      </c>
      <c r="H47" s="51" t="s">
        <v>72</v>
      </c>
      <c r="I47" s="52" t="s">
        <v>73</v>
      </c>
      <c r="J47" s="52"/>
      <c r="K47" s="53">
        <v>45684</v>
      </c>
      <c r="L47" s="53">
        <v>45713</v>
      </c>
      <c r="M47" s="50" t="s">
        <v>21</v>
      </c>
      <c r="N47" s="59" t="s">
        <v>80</v>
      </c>
    </row>
    <row r="48" spans="2:14" ht="81" customHeight="1" x14ac:dyDescent="0.35">
      <c r="B48" s="56" t="s">
        <v>27</v>
      </c>
      <c r="C48" s="50" t="s">
        <v>42</v>
      </c>
      <c r="D48" s="50" t="s">
        <v>45</v>
      </c>
      <c r="E48" s="50" t="s">
        <v>60</v>
      </c>
      <c r="F48" s="50" t="s">
        <v>61</v>
      </c>
      <c r="G48" s="50" t="s">
        <v>10</v>
      </c>
      <c r="H48" s="51" t="s">
        <v>66</v>
      </c>
      <c r="I48" s="52" t="s">
        <v>55</v>
      </c>
      <c r="J48" s="52"/>
      <c r="K48" s="53">
        <v>45677</v>
      </c>
      <c r="L48" s="53">
        <v>45709</v>
      </c>
      <c r="M48" s="50" t="s">
        <v>21</v>
      </c>
      <c r="N48" s="58" t="s">
        <v>79</v>
      </c>
    </row>
    <row r="49" spans="2:24" ht="64.75" customHeight="1" x14ac:dyDescent="0.35">
      <c r="B49" s="49" t="s">
        <v>51</v>
      </c>
      <c r="C49" s="50" t="s">
        <v>85</v>
      </c>
      <c r="D49" s="50" t="s">
        <v>29</v>
      </c>
      <c r="E49" s="50" t="s">
        <v>28</v>
      </c>
      <c r="F49" s="50" t="s">
        <v>86</v>
      </c>
      <c r="G49" s="50" t="s">
        <v>10</v>
      </c>
      <c r="H49" s="51">
        <v>46785</v>
      </c>
      <c r="I49" s="52" t="s">
        <v>33</v>
      </c>
      <c r="J49" s="52"/>
      <c r="K49" s="53">
        <v>45706</v>
      </c>
      <c r="L49" s="53">
        <v>45706</v>
      </c>
      <c r="M49" s="50" t="s">
        <v>16</v>
      </c>
      <c r="N49" s="59" t="s">
        <v>87</v>
      </c>
    </row>
    <row r="50" spans="2:24" ht="64.75" customHeight="1" x14ac:dyDescent="0.35">
      <c r="B50" s="56" t="s">
        <v>51</v>
      </c>
      <c r="C50" s="50" t="s">
        <v>74</v>
      </c>
      <c r="D50" s="50" t="s">
        <v>29</v>
      </c>
      <c r="E50" s="50" t="s">
        <v>28</v>
      </c>
      <c r="F50" s="50" t="s">
        <v>77</v>
      </c>
      <c r="G50" s="50" t="s">
        <v>10</v>
      </c>
      <c r="H50" s="51">
        <v>46785</v>
      </c>
      <c r="I50" s="52" t="s">
        <v>33</v>
      </c>
      <c r="J50" s="52"/>
      <c r="K50" s="53">
        <v>45698</v>
      </c>
      <c r="L50" s="53">
        <v>45698</v>
      </c>
      <c r="M50" s="50" t="s">
        <v>16</v>
      </c>
      <c r="N50" s="58" t="s">
        <v>78</v>
      </c>
    </row>
    <row r="51" spans="2:24" ht="89.25" customHeight="1" x14ac:dyDescent="0.35">
      <c r="B51" s="56" t="s">
        <v>27</v>
      </c>
      <c r="C51" s="50" t="s">
        <v>68</v>
      </c>
      <c r="D51" s="50" t="s">
        <v>29</v>
      </c>
      <c r="E51" s="50" t="s">
        <v>28</v>
      </c>
      <c r="F51" s="50" t="s">
        <v>67</v>
      </c>
      <c r="G51" s="50" t="s">
        <v>10</v>
      </c>
      <c r="H51" s="51">
        <v>46785</v>
      </c>
      <c r="I51" s="57" t="s">
        <v>55</v>
      </c>
      <c r="J51" s="52"/>
      <c r="K51" s="53">
        <v>45685</v>
      </c>
      <c r="L51" s="53">
        <v>45685</v>
      </c>
      <c r="M51" s="50" t="s">
        <v>16</v>
      </c>
      <c r="N51" s="58" t="s">
        <v>69</v>
      </c>
    </row>
    <row r="52" spans="2:24" ht="68.25" customHeight="1" x14ac:dyDescent="0.35">
      <c r="B52" s="56" t="s">
        <v>63</v>
      </c>
      <c r="C52" s="50" t="s">
        <v>62</v>
      </c>
      <c r="D52" s="50" t="s">
        <v>45</v>
      </c>
      <c r="E52" s="50" t="s">
        <v>28</v>
      </c>
      <c r="F52" s="50" t="s">
        <v>76</v>
      </c>
      <c r="G52" s="50" t="s">
        <v>10</v>
      </c>
      <c r="H52" s="51">
        <v>46785</v>
      </c>
      <c r="I52" s="52" t="s">
        <v>64</v>
      </c>
      <c r="J52" s="52"/>
      <c r="K52" s="53">
        <v>45679</v>
      </c>
      <c r="L52" s="53">
        <v>45685</v>
      </c>
      <c r="M52" s="50" t="s">
        <v>16</v>
      </c>
      <c r="N52" s="58" t="s">
        <v>65</v>
      </c>
    </row>
    <row r="53" spans="2:24" ht="58.5" customHeight="1" thickBot="1" x14ac:dyDescent="0.4">
      <c r="B53" s="56" t="s">
        <v>51</v>
      </c>
      <c r="C53" s="50" t="s">
        <v>52</v>
      </c>
      <c r="D53" s="50" t="s">
        <v>29</v>
      </c>
      <c r="E53" s="50" t="s">
        <v>53</v>
      </c>
      <c r="F53" s="50" t="s">
        <v>54</v>
      </c>
      <c r="G53" s="50" t="s">
        <v>10</v>
      </c>
      <c r="H53" s="51">
        <v>46785</v>
      </c>
      <c r="I53" s="52" t="s">
        <v>55</v>
      </c>
      <c r="J53" s="52"/>
      <c r="K53" s="53">
        <v>45672</v>
      </c>
      <c r="L53" s="53">
        <v>45685</v>
      </c>
      <c r="M53" s="50" t="s">
        <v>21</v>
      </c>
      <c r="N53" s="58" t="s">
        <v>75</v>
      </c>
    </row>
    <row r="54" spans="2:24" ht="64.75" customHeight="1" thickBot="1" x14ac:dyDescent="0.4">
      <c r="B54" s="56" t="s">
        <v>51</v>
      </c>
      <c r="C54" s="50" t="s">
        <v>56</v>
      </c>
      <c r="D54" s="50" t="s">
        <v>29</v>
      </c>
      <c r="E54" s="50" t="s">
        <v>57</v>
      </c>
      <c r="F54" s="50" t="s">
        <v>58</v>
      </c>
      <c r="G54" s="50" t="s">
        <v>10</v>
      </c>
      <c r="H54" s="51">
        <v>46785</v>
      </c>
      <c r="I54" s="52" t="s">
        <v>55</v>
      </c>
      <c r="J54" s="52"/>
      <c r="K54" s="53">
        <v>45664</v>
      </c>
      <c r="L54" s="53">
        <v>45664</v>
      </c>
      <c r="M54" s="50" t="s">
        <v>16</v>
      </c>
      <c r="N54" s="58" t="s">
        <v>59</v>
      </c>
      <c r="X54" s="31"/>
    </row>
    <row r="55" spans="2:24" ht="78" customHeight="1" x14ac:dyDescent="0.35">
      <c r="B55" s="56" t="s">
        <v>27</v>
      </c>
      <c r="C55" s="50" t="s">
        <v>31</v>
      </c>
      <c r="D55" s="50" t="s">
        <v>29</v>
      </c>
      <c r="E55" s="50" t="s">
        <v>30</v>
      </c>
      <c r="F55" s="50" t="s">
        <v>32</v>
      </c>
      <c r="G55" s="50" t="s">
        <v>10</v>
      </c>
      <c r="H55" s="51">
        <v>46785</v>
      </c>
      <c r="I55" s="52" t="s">
        <v>33</v>
      </c>
      <c r="J55" s="52"/>
      <c r="K55" s="53">
        <v>45603</v>
      </c>
      <c r="L55" s="53">
        <v>45604</v>
      </c>
      <c r="M55" s="50" t="s">
        <v>21</v>
      </c>
      <c r="N55" s="58" t="s">
        <v>34</v>
      </c>
    </row>
    <row r="56" spans="2:24" ht="78" customHeight="1" x14ac:dyDescent="0.35">
      <c r="B56" s="56" t="s">
        <v>27</v>
      </c>
      <c r="C56" s="50" t="s">
        <v>35</v>
      </c>
      <c r="D56" s="50" t="s">
        <v>29</v>
      </c>
      <c r="E56" s="50" t="s">
        <v>36</v>
      </c>
      <c r="F56" s="50" t="s">
        <v>37</v>
      </c>
      <c r="G56" s="50" t="s">
        <v>10</v>
      </c>
      <c r="H56" s="51">
        <v>46785</v>
      </c>
      <c r="I56" s="52" t="s">
        <v>33</v>
      </c>
      <c r="J56" s="52"/>
      <c r="K56" s="53">
        <v>45558</v>
      </c>
      <c r="L56" s="53">
        <v>45587</v>
      </c>
      <c r="M56" s="50" t="s">
        <v>17</v>
      </c>
      <c r="N56" s="58" t="s">
        <v>38</v>
      </c>
    </row>
    <row r="57" spans="2:24" ht="64.75" customHeight="1" x14ac:dyDescent="0.35">
      <c r="B57" s="49" t="s">
        <v>27</v>
      </c>
      <c r="C57" s="50" t="s">
        <v>42</v>
      </c>
      <c r="D57" s="50" t="s">
        <v>29</v>
      </c>
      <c r="E57" s="50" t="s">
        <v>46</v>
      </c>
      <c r="F57" s="50" t="s">
        <v>47</v>
      </c>
      <c r="G57" s="50" t="s">
        <v>48</v>
      </c>
      <c r="H57" s="51">
        <v>46785</v>
      </c>
      <c r="I57" s="52" t="s">
        <v>49</v>
      </c>
      <c r="J57" s="52"/>
      <c r="K57" s="53">
        <v>45577</v>
      </c>
      <c r="L57" s="53">
        <v>45577</v>
      </c>
      <c r="M57" s="50" t="s">
        <v>16</v>
      </c>
      <c r="N57" s="59" t="s">
        <v>50</v>
      </c>
    </row>
    <row r="58" spans="2:24" ht="71.25" customHeight="1" thickBot="1" x14ac:dyDescent="0.4">
      <c r="B58" s="60" t="s">
        <v>27</v>
      </c>
      <c r="C58" s="61" t="s">
        <v>39</v>
      </c>
      <c r="D58" s="61" t="s">
        <v>29</v>
      </c>
      <c r="E58" s="61" t="s">
        <v>28</v>
      </c>
      <c r="F58" s="61" t="s">
        <v>40</v>
      </c>
      <c r="G58" s="61" t="s">
        <v>10</v>
      </c>
      <c r="H58" s="62">
        <v>46785</v>
      </c>
      <c r="I58" s="63" t="s">
        <v>33</v>
      </c>
      <c r="J58" s="63"/>
      <c r="K58" s="64">
        <v>45573</v>
      </c>
      <c r="L58" s="64">
        <v>45575</v>
      </c>
      <c r="M58" s="61" t="s">
        <v>17</v>
      </c>
      <c r="N58" s="65" t="s">
        <v>41</v>
      </c>
    </row>
    <row r="59" spans="2:24" ht="78" customHeight="1" x14ac:dyDescent="0.35">
      <c r="B59" s="32"/>
      <c r="C59" s="32"/>
      <c r="D59" s="32"/>
      <c r="E59" s="32"/>
      <c r="F59" s="32"/>
      <c r="G59" s="32"/>
      <c r="H59" s="33"/>
      <c r="I59" s="34"/>
      <c r="J59" s="34"/>
      <c r="K59" s="35"/>
      <c r="L59" s="35"/>
      <c r="M59" s="32"/>
      <c r="N59" s="32"/>
    </row>
    <row r="60" spans="2:24" ht="64.75" customHeight="1" x14ac:dyDescent="0.35">
      <c r="B60" s="16"/>
      <c r="C60" s="16"/>
      <c r="D60" s="16"/>
      <c r="E60" s="16"/>
      <c r="F60" s="16"/>
      <c r="G60" s="16"/>
      <c r="H60" s="17"/>
      <c r="I60" s="18"/>
      <c r="J60" s="18"/>
      <c r="K60" s="19"/>
      <c r="L60" s="19"/>
      <c r="M60" s="16"/>
      <c r="N60" s="16"/>
    </row>
    <row r="61" spans="2:24" ht="61.4" customHeight="1" x14ac:dyDescent="0.35">
      <c r="B61" s="16"/>
      <c r="C61" s="16"/>
      <c r="D61" s="16"/>
      <c r="E61" s="16"/>
      <c r="F61" s="16"/>
      <c r="G61" s="16"/>
      <c r="H61" s="17"/>
      <c r="I61" s="18"/>
      <c r="J61" s="18"/>
      <c r="K61" s="19"/>
      <c r="L61" s="19"/>
      <c r="M61" s="16"/>
      <c r="N61" s="16"/>
    </row>
    <row r="62" spans="2:24" x14ac:dyDescent="0.35">
      <c r="B62" s="16"/>
      <c r="C62" s="16"/>
      <c r="D62" s="16"/>
      <c r="E62" s="16"/>
      <c r="F62" s="16"/>
      <c r="G62" s="16"/>
      <c r="H62" s="17"/>
      <c r="I62" s="18"/>
      <c r="J62" s="18"/>
      <c r="K62" s="19"/>
      <c r="L62" s="19"/>
      <c r="M62" s="16"/>
      <c r="N62" s="16"/>
    </row>
    <row r="63" spans="2:24" ht="61.4" customHeight="1" x14ac:dyDescent="0.35">
      <c r="B63" s="16"/>
      <c r="C63" s="16"/>
      <c r="D63" s="16"/>
      <c r="E63" s="16"/>
      <c r="F63" s="16"/>
      <c r="G63" s="16"/>
      <c r="H63" s="17"/>
      <c r="I63" s="18"/>
      <c r="J63" s="18"/>
      <c r="K63" s="19"/>
      <c r="L63" s="19"/>
      <c r="M63" s="16"/>
      <c r="N63" s="16"/>
    </row>
    <row r="64" spans="2:24" x14ac:dyDescent="0.35">
      <c r="B64" s="16"/>
      <c r="C64" s="16"/>
      <c r="D64" s="16"/>
      <c r="E64" s="16"/>
      <c r="F64" s="16"/>
      <c r="G64" s="16"/>
      <c r="H64" s="17"/>
      <c r="I64" s="18"/>
      <c r="J64" s="18"/>
      <c r="K64" s="19"/>
      <c r="L64" s="19"/>
      <c r="M64" s="16"/>
      <c r="N64" s="16"/>
    </row>
    <row r="65" spans="2:14" ht="56.15" customHeight="1" x14ac:dyDescent="0.35">
      <c r="B65" s="16"/>
      <c r="C65" s="16"/>
      <c r="D65" s="16"/>
      <c r="E65" s="16"/>
      <c r="F65" s="16"/>
      <c r="G65" s="16"/>
      <c r="H65" s="17"/>
      <c r="I65" s="18"/>
      <c r="J65" s="18"/>
      <c r="K65" s="19"/>
      <c r="L65" s="19"/>
      <c r="M65" s="16"/>
      <c r="N65" s="16"/>
    </row>
    <row r="66" spans="2:14" ht="68.5" customHeight="1" x14ac:dyDescent="0.35">
      <c r="B66" s="16"/>
      <c r="C66" s="16"/>
      <c r="D66" s="16"/>
      <c r="E66" s="16"/>
      <c r="F66" s="16"/>
      <c r="G66" s="16"/>
      <c r="H66" s="17"/>
      <c r="I66" s="18"/>
      <c r="J66" s="18"/>
      <c r="K66" s="19"/>
      <c r="L66" s="19"/>
      <c r="M66" s="16"/>
      <c r="N66" s="16"/>
    </row>
    <row r="67" spans="2:14" x14ac:dyDescent="0.35">
      <c r="B67" s="16"/>
      <c r="C67" s="16"/>
      <c r="D67" s="16"/>
      <c r="E67" s="16"/>
      <c r="F67" s="16"/>
      <c r="G67" s="16"/>
      <c r="H67" s="17"/>
      <c r="I67" s="18"/>
      <c r="J67" s="18"/>
      <c r="K67" s="19"/>
      <c r="L67" s="19"/>
      <c r="M67" s="16"/>
      <c r="N67" s="16"/>
    </row>
    <row r="68" spans="2:14" ht="63.75" customHeight="1" x14ac:dyDescent="0.35">
      <c r="B68" s="16"/>
      <c r="C68" s="16"/>
      <c r="D68" s="16"/>
      <c r="E68" s="16"/>
      <c r="F68" s="16"/>
      <c r="G68" s="16"/>
      <c r="H68" s="17"/>
      <c r="I68" s="18"/>
      <c r="J68" s="18"/>
      <c r="K68" s="19"/>
      <c r="L68" s="19"/>
      <c r="M68" s="16"/>
      <c r="N68" s="16"/>
    </row>
    <row r="69" spans="2:14" x14ac:dyDescent="0.35">
      <c r="B69" s="16"/>
      <c r="C69" s="16"/>
      <c r="D69" s="16"/>
      <c r="E69" s="16"/>
      <c r="F69" s="16"/>
      <c r="G69" s="16"/>
      <c r="H69" s="17"/>
      <c r="I69" s="18"/>
      <c r="J69" s="18"/>
      <c r="K69" s="19"/>
      <c r="L69" s="19"/>
      <c r="M69" s="16"/>
      <c r="N69" s="16"/>
    </row>
  </sheetData>
  <mergeCells count="1">
    <mergeCell ref="M4:M5"/>
  </mergeCells>
  <phoneticPr fontId="5" type="noConversion"/>
  <pageMargins left="0.7" right="0.7" top="0.75" bottom="0.75" header="0.3" footer="0.3"/>
  <pageSetup scale="39"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showInputMessage="1" showErrorMessage="1" xr:uid="{7CC6D9DC-E78D-4180-8895-1DD7E3B60E7A}">
          <x14:formula1>
            <xm:f>Sheet2!$E$2:$E$8</xm:f>
          </x14:formula1>
          <xm:sqref>M7:M69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F28F7-19D0-46EC-8CF1-0276FCF5BB3A}">
  <sheetPr>
    <pageSetUpPr fitToPage="1"/>
  </sheetPr>
  <dimension ref="B4:M34"/>
  <sheetViews>
    <sheetView zoomScaleNormal="100" workbookViewId="0">
      <selection activeCell="D42" sqref="D42"/>
    </sheetView>
  </sheetViews>
  <sheetFormatPr defaultRowHeight="14.5" x14ac:dyDescent="0.35"/>
  <cols>
    <col min="1" max="1" width="2" customWidth="1"/>
    <col min="2" max="2" width="8.54296875" customWidth="1"/>
    <col min="3" max="3" width="18.453125" customWidth="1"/>
    <col min="4" max="4" width="16" customWidth="1"/>
    <col min="5" max="5" width="14.1796875" customWidth="1"/>
    <col min="6" max="6" width="8.81640625" customWidth="1"/>
    <col min="7" max="7" width="10" style="10" bestFit="1" customWidth="1"/>
    <col min="8" max="8" width="13.81640625" style="3" customWidth="1"/>
    <col min="9" max="11" width="12.81640625" style="3" customWidth="1"/>
    <col min="12" max="12" width="18" bestFit="1" customWidth="1"/>
    <col min="13" max="13" width="54.81640625" customWidth="1"/>
  </cols>
  <sheetData>
    <row r="4" spans="2:13" ht="30" customHeight="1" x14ac:dyDescent="0.35">
      <c r="B4" s="7" t="s">
        <v>13</v>
      </c>
      <c r="M4" s="68"/>
    </row>
    <row r="5" spans="2:13" ht="30.65" customHeight="1" x14ac:dyDescent="0.35">
      <c r="B5" s="6" t="s">
        <v>25</v>
      </c>
      <c r="M5" s="68"/>
    </row>
    <row r="6" spans="2:13" ht="30.65" customHeight="1" x14ac:dyDescent="0.35">
      <c r="B6" s="1" t="s">
        <v>15</v>
      </c>
      <c r="M6" s="68"/>
    </row>
    <row r="7" spans="2:13" s="2" customFormat="1" ht="30" customHeight="1" x14ac:dyDescent="0.35">
      <c r="B7" s="8" t="s">
        <v>0</v>
      </c>
      <c r="C7" s="8" t="s">
        <v>2</v>
      </c>
      <c r="D7" s="8" t="s">
        <v>3</v>
      </c>
      <c r="E7" s="8" t="s">
        <v>7</v>
      </c>
      <c r="F7" s="8" t="s">
        <v>1</v>
      </c>
      <c r="G7" s="11" t="s">
        <v>22</v>
      </c>
      <c r="H7" s="9" t="s">
        <v>5</v>
      </c>
      <c r="I7" s="9" t="s">
        <v>6</v>
      </c>
      <c r="J7" s="9" t="s">
        <v>23</v>
      </c>
      <c r="K7" s="9" t="s">
        <v>24</v>
      </c>
      <c r="L7" s="8" t="s">
        <v>8</v>
      </c>
      <c r="M7" s="8" t="s">
        <v>9</v>
      </c>
    </row>
    <row r="8" spans="2:13" s="4" customFormat="1" ht="45.65" customHeight="1" x14ac:dyDescent="0.35">
      <c r="F8" s="4" t="s">
        <v>10</v>
      </c>
      <c r="G8" s="12"/>
      <c r="H8" s="5"/>
      <c r="I8" s="5"/>
      <c r="J8" s="15"/>
      <c r="K8" s="15"/>
      <c r="L8" s="4" t="s">
        <v>16</v>
      </c>
    </row>
    <row r="9" spans="2:13" s="4" customFormat="1" ht="45.65" customHeight="1" x14ac:dyDescent="0.35">
      <c r="F9" s="4" t="s">
        <v>10</v>
      </c>
      <c r="G9" s="12"/>
      <c r="H9" s="5"/>
      <c r="I9" s="5"/>
      <c r="J9" s="15"/>
      <c r="K9" s="15"/>
      <c r="L9" s="4" t="s">
        <v>16</v>
      </c>
    </row>
    <row r="10" spans="2:13" s="4" customFormat="1" ht="45.65" customHeight="1" x14ac:dyDescent="0.35">
      <c r="F10" s="4" t="s">
        <v>10</v>
      </c>
      <c r="G10" s="12"/>
      <c r="H10" s="5"/>
      <c r="I10" s="5"/>
      <c r="J10" s="15">
        <v>43955</v>
      </c>
      <c r="K10" s="15"/>
    </row>
    <row r="11" spans="2:13" s="4" customFormat="1" ht="45.65" customHeight="1" x14ac:dyDescent="0.35">
      <c r="F11" s="4" t="s">
        <v>10</v>
      </c>
      <c r="G11" s="12"/>
      <c r="H11" s="5"/>
      <c r="I11" s="5"/>
      <c r="J11" s="15">
        <v>43955</v>
      </c>
      <c r="K11" s="15"/>
    </row>
    <row r="12" spans="2:13" s="4" customFormat="1" ht="45.65" customHeight="1" x14ac:dyDescent="0.35">
      <c r="F12" s="4" t="s">
        <v>10</v>
      </c>
      <c r="G12" s="12"/>
      <c r="H12" s="5"/>
      <c r="I12" s="5"/>
      <c r="J12" s="15">
        <v>43955</v>
      </c>
      <c r="K12" s="15"/>
    </row>
    <row r="13" spans="2:13" s="4" customFormat="1" ht="45.65" customHeight="1" x14ac:dyDescent="0.35">
      <c r="F13" s="4" t="s">
        <v>10</v>
      </c>
      <c r="G13" s="12"/>
      <c r="H13" s="5"/>
      <c r="I13" s="5"/>
      <c r="J13" s="15">
        <v>43955</v>
      </c>
      <c r="K13" s="15"/>
    </row>
    <row r="14" spans="2:13" s="4" customFormat="1" ht="45.65" customHeight="1" x14ac:dyDescent="0.35">
      <c r="F14" s="4" t="s">
        <v>10</v>
      </c>
      <c r="G14" s="12"/>
      <c r="H14" s="5"/>
      <c r="I14" s="5"/>
      <c r="J14" s="15">
        <v>43955</v>
      </c>
      <c r="K14" s="15"/>
    </row>
    <row r="15" spans="2:13" s="4" customFormat="1" ht="45.65" customHeight="1" x14ac:dyDescent="0.35">
      <c r="F15" s="4" t="s">
        <v>10</v>
      </c>
      <c r="G15" s="12"/>
      <c r="H15" s="5"/>
      <c r="I15" s="5"/>
      <c r="J15" s="15">
        <v>43955</v>
      </c>
      <c r="K15" s="15"/>
    </row>
    <row r="16" spans="2:13" s="4" customFormat="1" ht="45.65" customHeight="1" x14ac:dyDescent="0.35">
      <c r="F16" s="4" t="s">
        <v>10</v>
      </c>
      <c r="G16" s="12"/>
      <c r="H16" s="5"/>
      <c r="I16" s="5"/>
      <c r="J16" s="15">
        <v>43955</v>
      </c>
      <c r="K16" s="15"/>
    </row>
    <row r="17" spans="6:12" s="4" customFormat="1" ht="45.65" customHeight="1" x14ac:dyDescent="0.35">
      <c r="F17" s="4" t="s">
        <v>10</v>
      </c>
      <c r="G17" s="12"/>
      <c r="H17" s="5"/>
      <c r="I17" s="5"/>
      <c r="J17" s="15"/>
      <c r="K17" s="15"/>
      <c r="L17" s="4" t="s">
        <v>17</v>
      </c>
    </row>
    <row r="18" spans="6:12" s="4" customFormat="1" ht="45.65" customHeight="1" x14ac:dyDescent="0.35">
      <c r="F18" s="4" t="s">
        <v>10</v>
      </c>
      <c r="G18" s="12"/>
      <c r="H18" s="5"/>
      <c r="I18" s="5"/>
      <c r="J18" s="15"/>
      <c r="K18" s="15"/>
      <c r="L18" s="4" t="s">
        <v>16</v>
      </c>
    </row>
    <row r="19" spans="6:12" s="4" customFormat="1" ht="45.65" customHeight="1" x14ac:dyDescent="0.35">
      <c r="F19" s="4" t="s">
        <v>10</v>
      </c>
      <c r="G19" s="12"/>
      <c r="H19" s="5"/>
      <c r="I19" s="5"/>
      <c r="J19" s="15"/>
      <c r="K19" s="15"/>
      <c r="L19" s="4" t="s">
        <v>16</v>
      </c>
    </row>
    <row r="20" spans="6:12" s="4" customFormat="1" ht="45.65" customHeight="1" x14ac:dyDescent="0.35">
      <c r="F20" s="4" t="s">
        <v>10</v>
      </c>
      <c r="G20" s="12"/>
      <c r="H20" s="5"/>
      <c r="I20" s="5"/>
      <c r="J20" s="15"/>
      <c r="K20" s="15"/>
    </row>
    <row r="21" spans="6:12" s="4" customFormat="1" ht="45.65" customHeight="1" x14ac:dyDescent="0.35">
      <c r="F21" s="4" t="s">
        <v>10</v>
      </c>
      <c r="G21" s="12"/>
      <c r="H21" s="5"/>
      <c r="I21" s="5"/>
      <c r="J21" s="15"/>
      <c r="K21" s="15"/>
    </row>
    <row r="22" spans="6:12" s="4" customFormat="1" ht="45.65" customHeight="1" x14ac:dyDescent="0.35">
      <c r="F22" s="4" t="s">
        <v>10</v>
      </c>
      <c r="G22" s="12"/>
      <c r="H22" s="5"/>
      <c r="I22" s="5"/>
      <c r="J22" s="15"/>
      <c r="K22" s="15"/>
    </row>
    <row r="23" spans="6:12" s="4" customFormat="1" ht="45.65" customHeight="1" x14ac:dyDescent="0.35">
      <c r="F23" s="4" t="s">
        <v>10</v>
      </c>
      <c r="G23" s="12"/>
      <c r="H23" s="5"/>
      <c r="I23" s="5"/>
      <c r="J23" s="15"/>
      <c r="K23" s="15"/>
    </row>
    <row r="24" spans="6:12" s="4" customFormat="1" ht="45.65" customHeight="1" x14ac:dyDescent="0.35">
      <c r="F24" s="4" t="s">
        <v>10</v>
      </c>
      <c r="G24" s="12"/>
      <c r="H24" s="5"/>
      <c r="I24" s="5"/>
      <c r="J24" s="15"/>
      <c r="K24" s="15"/>
      <c r="L24" s="4" t="s">
        <v>16</v>
      </c>
    </row>
    <row r="25" spans="6:12" s="4" customFormat="1" ht="45.65" customHeight="1" x14ac:dyDescent="0.35">
      <c r="F25" s="4" t="s">
        <v>10</v>
      </c>
      <c r="G25" s="12"/>
      <c r="H25" s="5"/>
      <c r="I25" s="5"/>
      <c r="J25" s="15"/>
      <c r="K25" s="15"/>
      <c r="L25" s="4" t="s">
        <v>21</v>
      </c>
    </row>
    <row r="26" spans="6:12" s="4" customFormat="1" ht="45.65" customHeight="1" x14ac:dyDescent="0.35">
      <c r="F26" s="4" t="s">
        <v>10</v>
      </c>
      <c r="G26" s="12"/>
      <c r="H26" s="5"/>
      <c r="I26" s="5"/>
      <c r="J26" s="15"/>
      <c r="K26" s="15"/>
      <c r="L26" s="4" t="s">
        <v>16</v>
      </c>
    </row>
    <row r="27" spans="6:12" s="4" customFormat="1" ht="45.65" customHeight="1" x14ac:dyDescent="0.35">
      <c r="F27" s="4" t="s">
        <v>10</v>
      </c>
      <c r="G27" s="12"/>
      <c r="H27" s="5"/>
      <c r="I27" s="5"/>
      <c r="J27" s="15"/>
      <c r="K27" s="15"/>
      <c r="L27" s="4" t="s">
        <v>16</v>
      </c>
    </row>
    <row r="28" spans="6:12" s="4" customFormat="1" ht="45.65" customHeight="1" x14ac:dyDescent="0.35">
      <c r="F28" s="4" t="s">
        <v>10</v>
      </c>
      <c r="G28" s="12"/>
      <c r="H28" s="5"/>
      <c r="I28" s="5"/>
      <c r="J28" s="15"/>
      <c r="K28" s="5"/>
      <c r="L28" s="4" t="s">
        <v>16</v>
      </c>
    </row>
    <row r="29" spans="6:12" s="4" customFormat="1" ht="45.65" customHeight="1" x14ac:dyDescent="0.35">
      <c r="F29" s="4" t="s">
        <v>10</v>
      </c>
      <c r="G29" s="12"/>
      <c r="H29" s="5"/>
      <c r="I29" s="5"/>
      <c r="J29" s="15"/>
      <c r="K29" s="15"/>
      <c r="L29" s="4" t="s">
        <v>16</v>
      </c>
    </row>
    <row r="30" spans="6:12" s="4" customFormat="1" ht="45.65" customHeight="1" x14ac:dyDescent="0.35">
      <c r="F30" s="4" t="s">
        <v>12</v>
      </c>
      <c r="G30" s="12"/>
      <c r="H30" s="5"/>
      <c r="I30" s="5"/>
      <c r="J30" s="15"/>
      <c r="K30" s="15"/>
      <c r="L30" s="4" t="s">
        <v>17</v>
      </c>
    </row>
    <row r="31" spans="6:12" s="4" customFormat="1" ht="45.65" customHeight="1" x14ac:dyDescent="0.35">
      <c r="F31" s="4" t="s">
        <v>11</v>
      </c>
      <c r="G31" s="12"/>
      <c r="H31" s="5"/>
      <c r="I31" s="5"/>
      <c r="J31" s="15"/>
      <c r="K31" s="15"/>
      <c r="L31" s="4" t="s">
        <v>17</v>
      </c>
    </row>
    <row r="32" spans="6:12" s="4" customFormat="1" ht="45.65" customHeight="1" x14ac:dyDescent="0.35">
      <c r="F32" s="4" t="s">
        <v>4</v>
      </c>
      <c r="G32" s="12"/>
      <c r="H32" s="5"/>
      <c r="I32" s="5"/>
      <c r="J32" s="15"/>
      <c r="K32" s="15"/>
      <c r="L32" s="4" t="s">
        <v>20</v>
      </c>
    </row>
    <row r="33" spans="2:13" x14ac:dyDescent="0.35">
      <c r="B33" s="13"/>
      <c r="C33" s="4"/>
      <c r="D33" s="4"/>
      <c r="E33" s="4"/>
      <c r="F33" s="4"/>
      <c r="G33" s="12"/>
      <c r="H33" s="5"/>
      <c r="I33" s="5"/>
      <c r="J33" s="5"/>
      <c r="K33" s="5"/>
      <c r="L33" s="4"/>
      <c r="M33" s="4"/>
    </row>
    <row r="34" spans="2:13" x14ac:dyDescent="0.35">
      <c r="B34" s="14"/>
      <c r="C34" s="4"/>
      <c r="D34" s="4"/>
      <c r="E34" s="4"/>
      <c r="F34" s="4"/>
      <c r="G34" s="12"/>
      <c r="H34" s="5"/>
      <c r="I34" s="5"/>
      <c r="J34" s="5"/>
      <c r="K34" s="5"/>
      <c r="L34" s="4"/>
      <c r="M34" s="4"/>
    </row>
  </sheetData>
  <mergeCells count="1">
    <mergeCell ref="M4:M6"/>
  </mergeCells>
  <pageMargins left="0.7" right="0.7" top="0.75" bottom="0.75" header="0.3" footer="0.3"/>
  <pageSetup scale="60"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showInputMessage="1" showErrorMessage="1" xr:uid="{97B8D1D9-15CD-4FC4-85F7-BD9F657A6DE3}">
          <x14:formula1>
            <xm:f>Sheet2!$E$2:$E$8</xm:f>
          </x14:formula1>
          <xm:sqref>L8:L34</xm:sqref>
        </x14:dataValidation>
        <x14:dataValidation type="list" allowBlank="1" showInputMessage="1" showErrorMessage="1" xr:uid="{3535C5B4-7CF5-49BE-897A-3509941BDEE2}">
          <x14:formula1>
            <xm:f>Sheet2!$B$1:$B$4</xm:f>
          </x14:formula1>
          <xm:sqref>F8:F34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63EC-5C62-4FB4-9318-A88F2FADC60F}">
  <dimension ref="B2:N20"/>
  <sheetViews>
    <sheetView workbookViewId="0">
      <selection activeCell="L16" sqref="L16"/>
    </sheetView>
  </sheetViews>
  <sheetFormatPr defaultRowHeight="14.5" x14ac:dyDescent="0.35"/>
  <cols>
    <col min="14" max="14" width="11.453125" customWidth="1"/>
  </cols>
  <sheetData>
    <row r="2" spans="2:14" x14ac:dyDescent="0.35">
      <c r="B2" t="s">
        <v>10</v>
      </c>
      <c r="E2" t="s">
        <v>16</v>
      </c>
    </row>
    <row r="3" spans="2:14" x14ac:dyDescent="0.35">
      <c r="B3" t="s">
        <v>11</v>
      </c>
      <c r="E3" t="s">
        <v>21</v>
      </c>
    </row>
    <row r="4" spans="2:14" x14ac:dyDescent="0.35">
      <c r="B4" t="s">
        <v>12</v>
      </c>
      <c r="E4" t="s">
        <v>20</v>
      </c>
    </row>
    <row r="5" spans="2:14" x14ac:dyDescent="0.35">
      <c r="E5" t="s">
        <v>19</v>
      </c>
    </row>
    <row r="6" spans="2:14" x14ac:dyDescent="0.35">
      <c r="E6" t="s">
        <v>18</v>
      </c>
    </row>
    <row r="7" spans="2:14" x14ac:dyDescent="0.35">
      <c r="E7" t="s">
        <v>17</v>
      </c>
    </row>
    <row r="15" spans="2:14" x14ac:dyDescent="0.35">
      <c r="K15">
        <v>1</v>
      </c>
      <c r="L15" s="20">
        <v>8311</v>
      </c>
      <c r="M15" s="21">
        <v>6</v>
      </c>
      <c r="N15" s="3">
        <f t="shared" ref="N15:N20" si="0">+M15*L15/12</f>
        <v>4155.5</v>
      </c>
    </row>
    <row r="16" spans="2:14" x14ac:dyDescent="0.35">
      <c r="K16">
        <v>2</v>
      </c>
      <c r="L16" s="20">
        <f>+L15</f>
        <v>8311</v>
      </c>
      <c r="M16" s="21">
        <f>+M15*1.03</f>
        <v>6.18</v>
      </c>
      <c r="N16" s="3">
        <f t="shared" si="0"/>
        <v>4280.165</v>
      </c>
    </row>
    <row r="17" spans="11:14" x14ac:dyDescent="0.35">
      <c r="K17">
        <v>3</v>
      </c>
      <c r="L17" s="20">
        <f>+L16</f>
        <v>8311</v>
      </c>
      <c r="M17" s="21">
        <f>+M16*1.03</f>
        <v>6.3654000000000002</v>
      </c>
      <c r="N17" s="3">
        <f t="shared" si="0"/>
        <v>4408.5699500000001</v>
      </c>
    </row>
    <row r="18" spans="11:14" x14ac:dyDescent="0.35">
      <c r="K18">
        <v>4</v>
      </c>
      <c r="L18" s="20">
        <f>+L17</f>
        <v>8311</v>
      </c>
      <c r="M18" s="21">
        <f>+M17*1.03</f>
        <v>6.556362</v>
      </c>
      <c r="N18" s="3">
        <f t="shared" si="0"/>
        <v>4540.8270485000003</v>
      </c>
    </row>
    <row r="19" spans="11:14" x14ac:dyDescent="0.35">
      <c r="K19">
        <v>5</v>
      </c>
      <c r="L19" s="20">
        <f>+L18</f>
        <v>8311</v>
      </c>
      <c r="M19" s="21">
        <f>+M18*1.03</f>
        <v>6.7530528600000004</v>
      </c>
      <c r="N19" s="3">
        <f t="shared" si="0"/>
        <v>4677.0518599550005</v>
      </c>
    </row>
    <row r="20" spans="11:14" x14ac:dyDescent="0.35">
      <c r="K20">
        <v>5</v>
      </c>
      <c r="L20" s="20">
        <f>+L19</f>
        <v>8311</v>
      </c>
      <c r="M20" s="21">
        <f>+M19*1.03</f>
        <v>6.9556444458000009</v>
      </c>
      <c r="N20" s="3">
        <f t="shared" si="0"/>
        <v>4817.3634157536508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d0b7e3d-a8a6-4910-bc07-520cfb586ad0">
      <Terms xmlns="http://schemas.microsoft.com/office/infopath/2007/PartnerControls"/>
    </lcf76f155ced4ddcb4097134ff3c332f>
    <TaxCatchAll xmlns="e618a849-f31c-42cf-bfcd-de4c64b4188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A5FCB71D6023F499F7CD76BF8509782" ma:contentTypeVersion="18" ma:contentTypeDescription="Create a new document." ma:contentTypeScope="" ma:versionID="8563bb45f9389690c0fc13d812858a19">
  <xsd:schema xmlns:xsd="http://www.w3.org/2001/XMLSchema" xmlns:xs="http://www.w3.org/2001/XMLSchema" xmlns:p="http://schemas.microsoft.com/office/2006/metadata/properties" xmlns:ns2="bd0b7e3d-a8a6-4910-bc07-520cfb586ad0" xmlns:ns3="e618a849-f31c-42cf-bfcd-de4c64b41887" targetNamespace="http://schemas.microsoft.com/office/2006/metadata/properties" ma:root="true" ma:fieldsID="118428103fd88ff323d622b06e410056" ns2:_="" ns3:_="">
    <xsd:import namespace="bd0b7e3d-a8a6-4910-bc07-520cfb586ad0"/>
    <xsd:import namespace="e618a849-f31c-42cf-bfcd-de4c64b418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0b7e3d-a8a6-4910-bc07-520cfb586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c41fe85-ed5f-4235-b580-b3a5c71bfe4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618a849-f31c-42cf-bfcd-de4c64b41887"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5c4b994-fb55-49e8-97f5-7324a47f48c0}" ma:internalName="TaxCatchAll" ma:showField="CatchAllData" ma:web="e618a849-f31c-42cf-bfcd-de4c64b4188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0F9339-DF8F-4E17-B398-09B8BDA82532}">
  <ds:schemaRefs>
    <ds:schemaRef ds:uri="http://schemas.microsoft.com/sharepoint/v3/contenttype/forms"/>
  </ds:schemaRefs>
</ds:datastoreItem>
</file>

<file path=customXml/itemProps2.xml><?xml version="1.0" encoding="utf-8"?>
<ds:datastoreItem xmlns:ds="http://schemas.openxmlformats.org/officeDocument/2006/customXml" ds:itemID="{8BDF0036-6ED3-408A-A2F7-795888930DBB}">
  <ds:schemaRefs>
    <ds:schemaRef ds:uri="http://schemas.microsoft.com/office/2006/metadata/properties"/>
    <ds:schemaRef ds:uri="http://schemas.microsoft.com/office/infopath/2007/PartnerControls"/>
    <ds:schemaRef ds:uri="bd0b7e3d-a8a6-4910-bc07-520cfb586ad0"/>
    <ds:schemaRef ds:uri="e618a849-f31c-42cf-bfcd-de4c64b41887"/>
  </ds:schemaRefs>
</ds:datastoreItem>
</file>

<file path=customXml/itemProps3.xml><?xml version="1.0" encoding="utf-8"?>
<ds:datastoreItem xmlns:ds="http://schemas.openxmlformats.org/officeDocument/2006/customXml" ds:itemID="{D1E4200E-44D7-454F-8391-85813E0FC6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0b7e3d-a8a6-4910-bc07-520cfb586ad0"/>
    <ds:schemaRef ds:uri="e618a849-f31c-42cf-bfcd-de4c64b418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LAR</vt:lpstr>
      <vt:lpstr>Contacted</vt:lpstr>
      <vt:lpstr>Sheet2</vt:lpstr>
      <vt:lpstr>Contacted!Print_Area</vt:lpstr>
      <vt:lpstr>LAR!Print_Area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culle</dc:creator>
  <cp:lastModifiedBy>Hahn Franklin-Mitchell</cp:lastModifiedBy>
  <cp:lastPrinted>2025-01-28T17:01:55Z</cp:lastPrinted>
  <dcterms:created xsi:type="dcterms:W3CDTF">2020-02-18T17:27:28Z</dcterms:created>
  <dcterms:modified xsi:type="dcterms:W3CDTF">2025-11-18T20:31:06Z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0x0101006A5FCB71D6023F499F7CD76BF8509782</vt:lpwstr>
  </property>
  <property fmtid="{D5CDD505-2E9C-101B-9397-08002B2CF9AE}" pid="3" name="MediaServiceImageTags">
    <vt:lpwstr/>
  </property>
</Properties>
</file>